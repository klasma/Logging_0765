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46311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46311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46311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46311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54633-2022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44883</v>
      </c>
      <c r="E13" s="1" t="n">
        <v>46311</v>
      </c>
      <c r="F13" t="inlineStr">
        <is>
          <t>KRONOBERGS LÄN</t>
        </is>
      </c>
      <c r="G13" t="inlineStr">
        <is>
          <t>ÄLMHULT</t>
        </is>
      </c>
      <c r="I13" t="n">
        <v>0.6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1</v>
      </c>
      <c r="V13" s="2" t="inlineStr">
        <is>
          <t>Sexfläckig bastardsvärmare
Silverblåvinge</t>
        </is>
      </c>
      <c r="W13">
        <f>HYPERLINK("https://klasma.github.io/Logging_0765/artfynd/A 54633-2022 artfynd.xlsx", "A 54633-2022")</f>
        <v/>
      </c>
      <c r="X13">
        <f>HYPERLINK("https://klasma.github.io/Logging_0765/kartor/A 54633-2022 karta.png", "A 54633-2022")</f>
        <v/>
      </c>
      <c r="Y13">
        <f>HYPERLINK("https://klasma.github.io/Logging_0765/kartor_geotiff/A 54633-2022 georefererad karta.tif", "A 54633-2022")</f>
        <v/>
      </c>
      <c r="AA13">
        <f>HYPERLINK("https://klasma.github.io/Logging_0765/klagomål/A 54633-2022 FSC-klagomål.docx", "A 54633-2022")</f>
        <v/>
      </c>
      <c r="AB13">
        <f>HYPERLINK("https://klasma.github.io/Logging_0765/klagomålsmail/A 54633-2022 FSC-klagomål mail.docx", "A 54633-2022")</f>
        <v/>
      </c>
      <c r="AC13">
        <f>HYPERLINK("https://klasma.github.io/Logging_0765/tillsyn/A 54633-2022 tillsynsbegäran.docx", "A 54633-2022")</f>
        <v/>
      </c>
      <c r="AD13">
        <f>HYPERLINK("https://klasma.github.io/Logging_0765/tillsynsmail/A 54633-2022 tillsynsbegäran mail.docx", "A 54633-2022")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46311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46311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46311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A 25207-2026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46171</v>
      </c>
      <c r="E17" s="1" t="n">
        <v>46311</v>
      </c>
      <c r="F17" t="inlineStr">
        <is>
          <t>KRONOBERGS LÄN</t>
        </is>
      </c>
      <c r="G17" t="inlineStr">
        <is>
          <t>ÄLMHULT</t>
        </is>
      </c>
      <c r="I17" t="n">
        <v>15.7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Havstulpanlav
Klippfrullania</t>
        </is>
      </c>
      <c r="W17">
        <f>HYPERLINK("https://klasma.github.io/Logging_0765/artfynd/A 25207-2026 artfynd.xlsx", "A 25207-2026")</f>
        <v/>
      </c>
      <c r="X17">
        <f>HYPERLINK("https://klasma.github.io/Logging_0765/kartor/A 25207-2026 karta.png", "A 25207-2026")</f>
        <v/>
      </c>
      <c r="Y17">
        <f>HYPERLINK("https://klasma.github.io/Logging_0765/kartor_geotiff/A 25207-2026 georefererad karta.tif", "A 25207-2026")</f>
        <v/>
      </c>
      <c r="AA17">
        <f>HYPERLINK("https://klasma.github.io/Logging_0765/klagomål/A 25207-2026 FSC-klagomål.docx", "A 25207-2026")</f>
        <v/>
      </c>
      <c r="AB17">
        <f>HYPERLINK("https://klasma.github.io/Logging_0765/klagomålsmail/A 25207-2026 FSC-klagomål mail.docx", "A 25207-2026")</f>
        <v/>
      </c>
      <c r="AC17">
        <f>HYPERLINK("https://klasma.github.io/Logging_0765/tillsyn/A 25207-2026 tillsynsbegäran.docx", "A 25207-2026")</f>
        <v/>
      </c>
      <c r="AD17">
        <f>HYPERLINK("https://klasma.github.io/Logging_0765/tillsynsmail/A 25207-2026 tillsynsbegäran mail.docx", "A 25207-2026")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46311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46311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46311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46311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46311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46311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46311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46311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46311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46311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46311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48196-2025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45932</v>
      </c>
      <c r="E29" s="1" t="n">
        <v>46311</v>
      </c>
      <c r="F29" t="inlineStr">
        <is>
          <t>KRONOBERGS LÄN</t>
        </is>
      </c>
      <c r="G29" t="inlineStr">
        <is>
          <t>ÄLMHULT</t>
        </is>
      </c>
      <c r="I29" t="n">
        <v>20.1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HYPERLINK("https://klasma.github.io/Logging_0765/artfynd/A 48196-2025 artfynd.xlsx", "A 48196-2025")</f>
        <v/>
      </c>
      <c r="X29">
        <f>HYPERLINK("https://klasma.github.io/Logging_0765/kartor/A 48196-2025 karta.png", "A 48196-2025")</f>
        <v/>
      </c>
      <c r="Y29">
        <f>HYPERLINK("https://klasma.github.io/Logging_0765/kartor_geotiff/A 48196-2025 georefererad karta.tif", "A 48196-2025")</f>
        <v/>
      </c>
      <c r="AA29">
        <f>HYPERLINK("https://klasma.github.io/Logging_0765/klagomål/A 48196-2025 FSC-klagomål.docx", "A 48196-2025")</f>
        <v/>
      </c>
      <c r="AB29">
        <f>HYPERLINK("https://klasma.github.io/Logging_0765/klagomålsmail/A 48196-2025 FSC-klagomål mail.docx", "A 48196-2025")</f>
        <v/>
      </c>
      <c r="AC29">
        <f>HYPERLINK("https://klasma.github.io/Logging_0765/tillsyn/A 48196-2025 tillsynsbegäran.docx", "A 48196-2025")</f>
        <v/>
      </c>
      <c r="AD29">
        <f>HYPERLINK("https://klasma.github.io/Logging_0765/tillsynsmail/A 48196-2025 tillsynsbegäran mail.docx", "A 48196-2025")</f>
        <v/>
      </c>
      <c r="AE29">
        <f>HYPERLINK("https://klasma.github.io/Logging_0765/fåglar/A 48196-2025 prioriterade fågelarter.docx", "A 48196-2025")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46311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46311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46311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46311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46311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46311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46311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46311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46311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46311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46311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46311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46311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46311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46311</v>
      </c>
      <c r="F45" t="inlineStr">
        <is>
          <t>KRONOBERGS LÄN</t>
        </is>
      </c>
      <c r="G45" t="inlineStr">
        <is>
          <t>ÄLMHULT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46311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46311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46311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46311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46311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46311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46311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46311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46311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46311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46311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46311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46311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46311</v>
      </c>
      <c r="F60" t="inlineStr">
        <is>
          <t>KRONOBERGS LÄN</t>
        </is>
      </c>
      <c r="G60" t="inlineStr">
        <is>
          <t>ÄLMHULT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46311</v>
      </c>
      <c r="F61" t="inlineStr">
        <is>
          <t>KRONOBERGS LÄN</t>
        </is>
      </c>
      <c r="G61" t="inlineStr">
        <is>
          <t>ÄLMHULT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46311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46311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46311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46311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46311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46311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46311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46311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46311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46311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46311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46311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46311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46311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46311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46311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46311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46311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46311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46311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46311</v>
      </c>
      <c r="F82" t="inlineStr">
        <is>
          <t>KRONOBERGS LÄN</t>
        </is>
      </c>
      <c r="G82" t="inlineStr">
        <is>
          <t>ÄLMHULT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46311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46311</v>
      </c>
      <c r="F84" t="inlineStr">
        <is>
          <t>KRONOBERGS LÄN</t>
        </is>
      </c>
      <c r="G84" t="inlineStr">
        <is>
          <t>ÄLMHULT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46311</v>
      </c>
      <c r="F85" t="inlineStr">
        <is>
          <t>KRONOBERGS LÄN</t>
        </is>
      </c>
      <c r="G85" t="inlineStr">
        <is>
          <t>ÄLMHULT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46311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45460</v>
      </c>
      <c r="E87" s="1" t="n">
        <v>46311</v>
      </c>
      <c r="F87" t="inlineStr">
        <is>
          <t>KRONOBERGS LÄN</t>
        </is>
      </c>
      <c r="G87" t="inlineStr">
        <is>
          <t>ÄLMHULT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64280-2021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46311</v>
      </c>
      <c r="F88" t="inlineStr">
        <is>
          <t>KRONOBERGS LÄN</t>
        </is>
      </c>
      <c r="G88" t="inlineStr">
        <is>
          <t>ÄLMHULT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66897-2021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44522</v>
      </c>
      <c r="E89" s="1" t="n">
        <v>46311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46311</v>
      </c>
      <c r="F90" t="inlineStr">
        <is>
          <t>KRONOBERGS LÄN</t>
        </is>
      </c>
      <c r="G90" t="inlineStr">
        <is>
          <t>ÄLMHULT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46311</v>
      </c>
      <c r="F91" t="inlineStr">
        <is>
          <t>KRONOBERGS LÄN</t>
        </is>
      </c>
      <c r="G91" t="inlineStr">
        <is>
          <t>ÄLMHULT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46311</v>
      </c>
      <c r="F92" t="inlineStr">
        <is>
          <t>KRONOBERGS LÄN</t>
        </is>
      </c>
      <c r="G92" t="inlineStr">
        <is>
          <t>ÄLMHULT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46311</v>
      </c>
      <c r="F93" t="inlineStr">
        <is>
          <t>KRONOBERGS LÄN</t>
        </is>
      </c>
      <c r="G93" t="inlineStr">
        <is>
          <t>ÄLMHULT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45663</v>
      </c>
      <c r="E94" s="1" t="n">
        <v>46311</v>
      </c>
      <c r="F94" t="inlineStr">
        <is>
          <t>KRONOBERGS LÄN</t>
        </is>
      </c>
      <c r="G94" t="inlineStr">
        <is>
          <t>ÄLMHULT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46311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46311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46311</v>
      </c>
      <c r="F97" t="inlineStr">
        <is>
          <t>KRONOBERGS LÄN</t>
        </is>
      </c>
      <c r="G97" t="inlineStr">
        <is>
          <t>ÄLMHULT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44816</v>
      </c>
      <c r="E98" s="1" t="n">
        <v>46311</v>
      </c>
      <c r="F98" t="inlineStr">
        <is>
          <t>KRONOBERGS LÄN</t>
        </is>
      </c>
      <c r="G98" t="inlineStr">
        <is>
          <t>ÄLMHULT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46311</v>
      </c>
      <c r="F99" t="inlineStr">
        <is>
          <t>KRONOBERGS LÄN</t>
        </is>
      </c>
      <c r="G99" t="inlineStr">
        <is>
          <t>ÄLMHULT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45735</v>
      </c>
      <c r="E100" s="1" t="n">
        <v>46311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46311</v>
      </c>
      <c r="F101" t="inlineStr">
        <is>
          <t>KRONOBERGS LÄN</t>
        </is>
      </c>
      <c r="G101" t="inlineStr">
        <is>
          <t>ÄLMHULT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45273</v>
      </c>
      <c r="E102" s="1" t="n">
        <v>46311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46311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46311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46311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46311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46311</v>
      </c>
      <c r="F107" t="inlineStr">
        <is>
          <t>KRONOBERGS LÄN</t>
        </is>
      </c>
      <c r="G107" t="inlineStr">
        <is>
          <t>ÄLMHULT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46311</v>
      </c>
      <c r="F108" t="inlineStr">
        <is>
          <t>KRONOBERGS LÄN</t>
        </is>
      </c>
      <c r="G108" t="inlineStr">
        <is>
          <t>ÄLMHULT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46311</v>
      </c>
      <c r="F109" t="inlineStr">
        <is>
          <t>KRONOBERGS LÄN</t>
        </is>
      </c>
      <c r="G109" t="inlineStr">
        <is>
          <t>ÄLMHULT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46311</v>
      </c>
      <c r="F110" t="inlineStr">
        <is>
          <t>KRONOBERGS LÄN</t>
        </is>
      </c>
      <c r="G110" t="inlineStr">
        <is>
          <t>ÄLMHULT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45497</v>
      </c>
      <c r="E111" s="1" t="n">
        <v>46311</v>
      </c>
      <c r="F111" t="inlineStr">
        <is>
          <t>KRONOBERGS LÄN</t>
        </is>
      </c>
      <c r="G111" t="inlineStr">
        <is>
          <t>ÄLMHULT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46311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46311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45348</v>
      </c>
      <c r="E114" s="1" t="n">
        <v>46311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46311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46311</v>
      </c>
      <c r="F116" t="inlineStr">
        <is>
          <t>KRONOBERGS LÄN</t>
        </is>
      </c>
      <c r="G116" t="inlineStr">
        <is>
          <t>ÄLMHULT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44855</v>
      </c>
      <c r="E117" s="1" t="n">
        <v>46311</v>
      </c>
      <c r="F117" t="inlineStr">
        <is>
          <t>KRONOBERGS LÄN</t>
        </is>
      </c>
      <c r="G117" t="inlineStr">
        <is>
          <t>ÄLMHULT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46311</v>
      </c>
      <c r="F118" t="inlineStr">
        <is>
          <t>KRONOBERGS LÄN</t>
        </is>
      </c>
      <c r="G118" t="inlineStr">
        <is>
          <t>ÄLMHULT</t>
        </is>
      </c>
      <c r="H118" t="inlineStr">
        <is>
          <t>Sveaskog</t>
        </is>
      </c>
      <c r="I118" t="n">
        <v>9.300000000000001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46311</v>
      </c>
      <c r="F119" t="inlineStr">
        <is>
          <t>KRONOBERGS LÄN</t>
        </is>
      </c>
      <c r="G119" t="inlineStr">
        <is>
          <t>ÄLMHULT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46311</v>
      </c>
      <c r="F120" t="inlineStr">
        <is>
          <t>KRONOBERGS LÄN</t>
        </is>
      </c>
      <c r="G120" t="inlineStr">
        <is>
          <t>ÄLMHULT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46311</v>
      </c>
      <c r="F121" t="inlineStr">
        <is>
          <t>KRONOBERGS LÄN</t>
        </is>
      </c>
      <c r="G121" t="inlineStr">
        <is>
          <t>ÄLMHULT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45695</v>
      </c>
      <c r="E122" s="1" t="n">
        <v>46311</v>
      </c>
      <c r="F122" t="inlineStr">
        <is>
          <t>KRONOBERGS LÄN</t>
        </is>
      </c>
      <c r="G122" t="inlineStr">
        <is>
          <t>ÄLMHULT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46311</v>
      </c>
      <c r="F123" t="inlineStr">
        <is>
          <t>KRONOBERGS LÄN</t>
        </is>
      </c>
      <c r="G123" t="inlineStr">
        <is>
          <t>ÄLMHULT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46311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46311</v>
      </c>
      <c r="F125" t="inlineStr">
        <is>
          <t>KRONOBERGS LÄN</t>
        </is>
      </c>
      <c r="G125" t="inlineStr">
        <is>
          <t>ÄLMHULT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45090</v>
      </c>
      <c r="E126" s="1" t="n">
        <v>46311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45133</v>
      </c>
      <c r="E127" s="1" t="n">
        <v>46311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46311</v>
      </c>
      <c r="F128" t="inlineStr">
        <is>
          <t>KRONOBERGS LÄN</t>
        </is>
      </c>
      <c r="G128" t="inlineStr">
        <is>
          <t>ÄLMHULT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46311</v>
      </c>
      <c r="F129" t="inlineStr">
        <is>
          <t>KRONOBERGS LÄN</t>
        </is>
      </c>
      <c r="G129" t="inlineStr">
        <is>
          <t>ÄLMHULT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46311</v>
      </c>
      <c r="F130" t="inlineStr">
        <is>
          <t>KRONOBERGS LÄN</t>
        </is>
      </c>
      <c r="G130" t="inlineStr">
        <is>
          <t>ÄLMHULT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46311</v>
      </c>
      <c r="F131" t="inlineStr">
        <is>
          <t>KRONOBERGS LÄN</t>
        </is>
      </c>
      <c r="G131" t="inlineStr">
        <is>
          <t>ÄLMHULT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45078</v>
      </c>
      <c r="E132" s="1" t="n">
        <v>46311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46311</v>
      </c>
      <c r="F133" t="inlineStr">
        <is>
          <t>KRONOBERGS LÄN</t>
        </is>
      </c>
      <c r="G133" t="inlineStr">
        <is>
          <t>ÄLMHULT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46311</v>
      </c>
      <c r="F134" t="inlineStr">
        <is>
          <t>KRONOBERGS LÄN</t>
        </is>
      </c>
      <c r="G134" t="inlineStr">
        <is>
          <t>ÄLMHULT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45441</v>
      </c>
      <c r="E135" s="1" t="n">
        <v>46311</v>
      </c>
      <c r="F135" t="inlineStr">
        <is>
          <t>KRONOBERGS LÄN</t>
        </is>
      </c>
      <c r="G135" t="inlineStr">
        <is>
          <t>ÄLMHULT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46311</v>
      </c>
      <c r="F136" t="inlineStr">
        <is>
          <t>KRONOBERGS LÄN</t>
        </is>
      </c>
      <c r="G136" t="inlineStr">
        <is>
          <t>ÄLMHULT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46311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46311</v>
      </c>
      <c r="F138" t="inlineStr">
        <is>
          <t>KRONOBERGS LÄN</t>
        </is>
      </c>
      <c r="G138" t="inlineStr">
        <is>
          <t>ÄLMHULT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46311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46311</v>
      </c>
      <c r="F140" t="inlineStr">
        <is>
          <t>KRONOBERGS LÄN</t>
        </is>
      </c>
      <c r="G140" t="inlineStr">
        <is>
          <t>ÄLMHULT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45217</v>
      </c>
      <c r="E141" s="1" t="n">
        <v>46311</v>
      </c>
      <c r="F141" t="inlineStr">
        <is>
          <t>KRONOBERGS LÄN</t>
        </is>
      </c>
      <c r="G141" t="inlineStr">
        <is>
          <t>ÄLMHULT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46311</v>
      </c>
      <c r="F142" t="inlineStr">
        <is>
          <t>KRONOBERGS LÄN</t>
        </is>
      </c>
      <c r="G142" t="inlineStr">
        <is>
          <t>ÄLMHULT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46311</v>
      </c>
      <c r="F143" t="inlineStr">
        <is>
          <t>KRONOBERGS LÄN</t>
        </is>
      </c>
      <c r="G143" t="inlineStr">
        <is>
          <t>ÄLMHULT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46311</v>
      </c>
      <c r="F144" t="inlineStr">
        <is>
          <t>KRONOBERGS LÄN</t>
        </is>
      </c>
      <c r="G144" t="inlineStr">
        <is>
          <t>ÄLMHULT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46311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46311</v>
      </c>
      <c r="F146" t="inlineStr">
        <is>
          <t>KRONOBERGS LÄN</t>
        </is>
      </c>
      <c r="G146" t="inlineStr">
        <is>
          <t>ÄLMHULT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46311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46311</v>
      </c>
      <c r="F148" t="inlineStr">
        <is>
          <t>KRONOBERGS LÄN</t>
        </is>
      </c>
      <c r="G148" t="inlineStr">
        <is>
          <t>ÄLMHULT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44641</v>
      </c>
      <c r="E149" s="1" t="n">
        <v>46311</v>
      </c>
      <c r="F149" t="inlineStr">
        <is>
          <t>KRONOBERGS LÄN</t>
        </is>
      </c>
      <c r="G149" t="inlineStr">
        <is>
          <t>ÄLMHULT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45529</v>
      </c>
      <c r="E150" s="1" t="n">
        <v>46311</v>
      </c>
      <c r="F150" t="inlineStr">
        <is>
          <t>KRONOBERGS LÄN</t>
        </is>
      </c>
      <c r="G150" t="inlineStr">
        <is>
          <t>ÄLMHULT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11014-2023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44986</v>
      </c>
      <c r="E151" s="1" t="n">
        <v>46311</v>
      </c>
      <c r="F151" t="inlineStr">
        <is>
          <t>KRONOBERGS LÄN</t>
        </is>
      </c>
      <c r="G151" t="inlineStr">
        <is>
          <t>ÄLMHULT</t>
        </is>
      </c>
      <c r="H151" t="inlineStr">
        <is>
          <t>Kyrkan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45374</v>
      </c>
      <c r="E152" s="1" t="n">
        <v>46311</v>
      </c>
      <c r="F152" t="inlineStr">
        <is>
          <t>KRONOBERGS LÄN</t>
        </is>
      </c>
      <c r="G152" t="inlineStr">
        <is>
          <t>ÄLMHULT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46311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46311</v>
      </c>
      <c r="F154" t="inlineStr">
        <is>
          <t>KRONOBERGS LÄN</t>
        </is>
      </c>
      <c r="G154" t="inlineStr">
        <is>
          <t>ÄLMHULT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46311</v>
      </c>
      <c r="F155" t="inlineStr">
        <is>
          <t>KRONOBERGS LÄN</t>
        </is>
      </c>
      <c r="G155" t="inlineStr">
        <is>
          <t>ÄLMHULT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45433</v>
      </c>
      <c r="E156" s="1" t="n">
        <v>46311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46311</v>
      </c>
      <c r="F157" t="inlineStr">
        <is>
          <t>KRONOBERGS LÄN</t>
        </is>
      </c>
      <c r="G157" t="inlineStr">
        <is>
          <t>ÄLMHULT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46311</v>
      </c>
      <c r="F158" t="inlineStr">
        <is>
          <t>KRONOBERGS LÄN</t>
        </is>
      </c>
      <c r="G158" t="inlineStr">
        <is>
          <t>ÄLMHULT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46311</v>
      </c>
      <c r="F159" t="inlineStr">
        <is>
          <t>KRONOBERGS LÄN</t>
        </is>
      </c>
      <c r="G159" t="inlineStr">
        <is>
          <t>ÄLMHULT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46311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46311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45309</v>
      </c>
      <c r="E162" s="1" t="n">
        <v>46311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46311</v>
      </c>
      <c r="F163" t="inlineStr">
        <is>
          <t>KRONOBERGS LÄN</t>
        </is>
      </c>
      <c r="G163" t="inlineStr">
        <is>
          <t>ÄLMHULT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46311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46311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33771-2025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45842</v>
      </c>
      <c r="E166" s="1" t="n">
        <v>46311</v>
      </c>
      <c r="F166" t="inlineStr">
        <is>
          <t>KRONOBERGS LÄN</t>
        </is>
      </c>
      <c r="G166" t="inlineStr">
        <is>
          <t>ÄLMHULT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46311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45529</v>
      </c>
      <c r="E168" s="1" t="n">
        <v>46311</v>
      </c>
      <c r="F168" t="inlineStr">
        <is>
          <t>KRONOBERGS LÄN</t>
        </is>
      </c>
      <c r="G168" t="inlineStr">
        <is>
          <t>ÄLMHULT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46311</v>
      </c>
      <c r="F169" t="inlineStr">
        <is>
          <t>KRONOBERGS LÄN</t>
        </is>
      </c>
      <c r="G169" t="inlineStr">
        <is>
          <t>ÄLMHULT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46311</v>
      </c>
      <c r="F170" t="inlineStr">
        <is>
          <t>KRONOBERGS LÄN</t>
        </is>
      </c>
      <c r="G170" t="inlineStr">
        <is>
          <t>ÄLMHULT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46311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45049</v>
      </c>
      <c r="E172" s="1" t="n">
        <v>46311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36000-2024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45533</v>
      </c>
      <c r="E173" s="1" t="n">
        <v>46311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44962</v>
      </c>
      <c r="E174" s="1" t="n">
        <v>46311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63569-2021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46311</v>
      </c>
      <c r="F175" t="inlineStr">
        <is>
          <t>KRONOBERGS LÄN</t>
        </is>
      </c>
      <c r="G175" t="inlineStr">
        <is>
          <t>ÄLMHULT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46311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46311</v>
      </c>
      <c r="F177" t="inlineStr">
        <is>
          <t>KRONOBERGS LÄN</t>
        </is>
      </c>
      <c r="G177" t="inlineStr">
        <is>
          <t>ÄLMHULT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46311</v>
      </c>
      <c r="F178" t="inlineStr">
        <is>
          <t>KRONOBERGS LÄN</t>
        </is>
      </c>
      <c r="G178" t="inlineStr">
        <is>
          <t>ÄLMHULT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45457</v>
      </c>
      <c r="E179" s="1" t="n">
        <v>46311</v>
      </c>
      <c r="F179" t="inlineStr">
        <is>
          <t>KRONOBERGS LÄN</t>
        </is>
      </c>
      <c r="G179" t="inlineStr">
        <is>
          <t>ÄLMHULT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45457</v>
      </c>
      <c r="E180" s="1" t="n">
        <v>46311</v>
      </c>
      <c r="F180" t="inlineStr">
        <is>
          <t>KRONOBERGS LÄN</t>
        </is>
      </c>
      <c r="G180" t="inlineStr">
        <is>
          <t>ÄLMHULT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46311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46311</v>
      </c>
      <c r="F182" t="inlineStr">
        <is>
          <t>KRONOBERGS LÄN</t>
        </is>
      </c>
      <c r="G182" t="inlineStr">
        <is>
          <t>ÄLMHULT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46311</v>
      </c>
      <c r="F183" t="inlineStr">
        <is>
          <t>KRONOBERGS LÄN</t>
        </is>
      </c>
      <c r="G183" t="inlineStr">
        <is>
          <t>ÄLMHULT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46311</v>
      </c>
      <c r="F184" t="inlineStr">
        <is>
          <t>KRONOBERGS LÄN</t>
        </is>
      </c>
      <c r="G184" t="inlineStr">
        <is>
          <t>ÄLMHULT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46311</v>
      </c>
      <c r="F185" t="inlineStr">
        <is>
          <t>KRONOBERGS LÄN</t>
        </is>
      </c>
      <c r="G185" t="inlineStr">
        <is>
          <t>ÄLMHULT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46311</v>
      </c>
      <c r="F186" t="inlineStr">
        <is>
          <t>KRONOBERGS LÄN</t>
        </is>
      </c>
      <c r="G186" t="inlineStr">
        <is>
          <t>ÄLMHULT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46311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45854</v>
      </c>
      <c r="E188" s="1" t="n">
        <v>46311</v>
      </c>
      <c r="F188" t="inlineStr">
        <is>
          <t>KRONOBERGS LÄN</t>
        </is>
      </c>
      <c r="G188" t="inlineStr">
        <is>
          <t>ÄLMHULT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46311</v>
      </c>
      <c r="F189" t="inlineStr">
        <is>
          <t>KRONOBERGS LÄN</t>
        </is>
      </c>
      <c r="G189" t="inlineStr">
        <is>
          <t>ÄLMHULT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46311</v>
      </c>
      <c r="F190" t="inlineStr">
        <is>
          <t>KRONOBERGS LÄN</t>
        </is>
      </c>
      <c r="G190" t="inlineStr">
        <is>
          <t>ÄLMHULT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46067-2024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46311</v>
      </c>
      <c r="F191" t="inlineStr">
        <is>
          <t>KRONOBERGS LÄN</t>
        </is>
      </c>
      <c r="G191" t="inlineStr">
        <is>
          <t>ÄLMHULT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46311</v>
      </c>
      <c r="F192" t="inlineStr">
        <is>
          <t>KRONOBERGS LÄN</t>
        </is>
      </c>
      <c r="G192" t="inlineStr">
        <is>
          <t>ÄLMHULT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44979</v>
      </c>
      <c r="E193" s="1" t="n">
        <v>46311</v>
      </c>
      <c r="F193" t="inlineStr">
        <is>
          <t>KRONOBERGS LÄN</t>
        </is>
      </c>
      <c r="G193" t="inlineStr">
        <is>
          <t>ÄLMHULT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46311</v>
      </c>
      <c r="F194" t="inlineStr">
        <is>
          <t>KRONOBERGS LÄN</t>
        </is>
      </c>
      <c r="G194" t="inlineStr">
        <is>
          <t>ÄLMHULT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46311</v>
      </c>
      <c r="F195" t="inlineStr">
        <is>
          <t>KRONOBERGS LÄN</t>
        </is>
      </c>
      <c r="G195" t="inlineStr">
        <is>
          <t>ÄLMHULT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46311</v>
      </c>
      <c r="F196" t="inlineStr">
        <is>
          <t>KRONOBERGS LÄN</t>
        </is>
      </c>
      <c r="G196" t="inlineStr">
        <is>
          <t>ÄLMHULT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46311</v>
      </c>
      <c r="F197" t="inlineStr">
        <is>
          <t>KRONOBERGS LÄN</t>
        </is>
      </c>
      <c r="G197" t="inlineStr">
        <is>
          <t>ÄLMHULT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46311</v>
      </c>
      <c r="F198" t="inlineStr">
        <is>
          <t>KRONOBERGS LÄN</t>
        </is>
      </c>
      <c r="G198" t="inlineStr">
        <is>
          <t>ÄLMHULT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46311</v>
      </c>
      <c r="F199" t="inlineStr">
        <is>
          <t>KRONOBERGS LÄN</t>
        </is>
      </c>
      <c r="G199" t="inlineStr">
        <is>
          <t>ÄLMHULT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46311</v>
      </c>
      <c r="F200" t="inlineStr">
        <is>
          <t>KRONOBERGS LÄN</t>
        </is>
      </c>
      <c r="G200" t="inlineStr">
        <is>
          <t>ÄLMHULT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46311</v>
      </c>
      <c r="F201" t="inlineStr">
        <is>
          <t>KRONOBERGS LÄN</t>
        </is>
      </c>
      <c r="G201" t="inlineStr">
        <is>
          <t>ÄLMHULT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45867</v>
      </c>
      <c r="E202" s="1" t="n">
        <v>46311</v>
      </c>
      <c r="F202" t="inlineStr">
        <is>
          <t>KRONOBERGS LÄN</t>
        </is>
      </c>
      <c r="G202" t="inlineStr">
        <is>
          <t>ÄLMHULT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46311</v>
      </c>
      <c r="F203" t="inlineStr">
        <is>
          <t>KRONOBERGS LÄN</t>
        </is>
      </c>
      <c r="G203" t="inlineStr">
        <is>
          <t>ÄLMHULT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72469-2021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44545</v>
      </c>
      <c r="E204" s="1" t="n">
        <v>46311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46311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46311</v>
      </c>
      <c r="F206" t="inlineStr">
        <is>
          <t>KRONOBERGS LÄN</t>
        </is>
      </c>
      <c r="G206" t="inlineStr">
        <is>
          <t>ÄLMHULT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46311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46311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46311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13606-2023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45006</v>
      </c>
      <c r="E210" s="1" t="n">
        <v>46311</v>
      </c>
      <c r="F210" t="inlineStr">
        <is>
          <t>KRONOBERGS LÄN</t>
        </is>
      </c>
      <c r="G210" t="inlineStr">
        <is>
          <t>ÄLMHULT</t>
        </is>
      </c>
      <c r="H210" t="inlineStr">
        <is>
          <t>Kommuner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46311</v>
      </c>
      <c r="F211" t="inlineStr">
        <is>
          <t>KRONOBERGS LÄN</t>
        </is>
      </c>
      <c r="G211" t="inlineStr">
        <is>
          <t>ÄLMHULT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46311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46311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46311</v>
      </c>
      <c r="F214" t="inlineStr">
        <is>
          <t>KRONOBERGS LÄN</t>
        </is>
      </c>
      <c r="G214" t="inlineStr">
        <is>
          <t>ÄLMHULT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46311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46311</v>
      </c>
      <c r="F216" t="inlineStr">
        <is>
          <t>KRONOBERGS LÄN</t>
        </is>
      </c>
      <c r="G216" t="inlineStr">
        <is>
          <t>ÄLMHULT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46311</v>
      </c>
      <c r="F217" t="inlineStr">
        <is>
          <t>KRONOBERGS LÄN</t>
        </is>
      </c>
      <c r="G217" t="inlineStr">
        <is>
          <t>ÄLMHULT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46311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46311</v>
      </c>
      <c r="F219" t="inlineStr">
        <is>
          <t>KRONOBERGS LÄN</t>
        </is>
      </c>
      <c r="G219" t="inlineStr">
        <is>
          <t>ÄLMHULT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46311</v>
      </c>
      <c r="F220" t="inlineStr">
        <is>
          <t>KRONOBERGS LÄN</t>
        </is>
      </c>
      <c r="G220" t="inlineStr">
        <is>
          <t>ÄLMHULT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28026-2024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45476</v>
      </c>
      <c r="E221" s="1" t="n">
        <v>46311</v>
      </c>
      <c r="F221" t="inlineStr">
        <is>
          <t>KRONOBERGS LÄN</t>
        </is>
      </c>
      <c r="G221" t="inlineStr">
        <is>
          <t>ÄLMHULT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46311</v>
      </c>
      <c r="F222" t="inlineStr">
        <is>
          <t>KRONOBERGS LÄN</t>
        </is>
      </c>
      <c r="G222" t="inlineStr">
        <is>
          <t>ÄLMHULT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46311</v>
      </c>
      <c r="F223" t="inlineStr">
        <is>
          <t>KRONOBERGS LÄN</t>
        </is>
      </c>
      <c r="G223" t="inlineStr">
        <is>
          <t>ÄLMHULT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46311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71802-2021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44543</v>
      </c>
      <c r="E225" s="1" t="n">
        <v>46311</v>
      </c>
      <c r="F225" t="inlineStr">
        <is>
          <t>KRONOBERGS LÄN</t>
        </is>
      </c>
      <c r="G225" t="inlineStr">
        <is>
          <t>ÄLMHULT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69444-2021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46311</v>
      </c>
      <c r="F226" t="inlineStr">
        <is>
          <t>KRONOBERGS LÄN</t>
        </is>
      </c>
      <c r="G226" t="inlineStr">
        <is>
          <t>ÄLMHULT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46311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46311</v>
      </c>
      <c r="F228" t="inlineStr">
        <is>
          <t>KRONOBERGS LÄN</t>
        </is>
      </c>
      <c r="G228" t="inlineStr">
        <is>
          <t>ÄLMHULT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45450</v>
      </c>
      <c r="E229" s="1" t="n">
        <v>46311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44911</v>
      </c>
      <c r="E230" s="1" t="n">
        <v>46311</v>
      </c>
      <c r="F230" t="inlineStr">
        <is>
          <t>KRONOBERGS LÄN</t>
        </is>
      </c>
      <c r="G230" t="inlineStr">
        <is>
          <t>ÄLMHULT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45538</v>
      </c>
      <c r="E231" s="1" t="n">
        <v>46311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67257-2021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44523</v>
      </c>
      <c r="E232" s="1" t="n">
        <v>46311</v>
      </c>
      <c r="F232" t="inlineStr">
        <is>
          <t>KRONOBERGS LÄN</t>
        </is>
      </c>
      <c r="G232" t="inlineStr">
        <is>
          <t>ÄLMHULT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46311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46311</v>
      </c>
      <c r="F234" t="inlineStr">
        <is>
          <t>KRONOBERGS LÄN</t>
        </is>
      </c>
      <c r="G234" t="inlineStr">
        <is>
          <t>ÄLMHULT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44503</v>
      </c>
      <c r="E235" s="1" t="n">
        <v>46311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44859</v>
      </c>
      <c r="E236" s="1" t="n">
        <v>46311</v>
      </c>
      <c r="F236" t="inlineStr">
        <is>
          <t>KRONOBERGS LÄN</t>
        </is>
      </c>
      <c r="G236" t="inlineStr">
        <is>
          <t>ÄLMHULT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46311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53661-2024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46311</v>
      </c>
      <c r="F238" t="inlineStr">
        <is>
          <t>KRONOBERGS LÄN</t>
        </is>
      </c>
      <c r="G238" t="inlineStr">
        <is>
          <t>ÄLMHULT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46311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44958</v>
      </c>
      <c r="E240" s="1" t="n">
        <v>46311</v>
      </c>
      <c r="F240" t="inlineStr">
        <is>
          <t>KRONOBERGS LÄN</t>
        </is>
      </c>
      <c r="G240" t="inlineStr">
        <is>
          <t>ÄLMHULT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46311</v>
      </c>
      <c r="F241" t="inlineStr">
        <is>
          <t>KRONOBERGS LÄN</t>
        </is>
      </c>
      <c r="G241" t="inlineStr">
        <is>
          <t>ÄLMHULT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HYPERLINK("https://klasma.github.io/Logging_0765/knärot/A 27756-2023 karta knärot.png", "A 27756-2023")</f>
        <v/>
      </c>
      <c r="AA241">
        <f>HYPERLINK("https://klasma.github.io/Logging_0765/klagomål/A 27756-2023 FSC-klagomål.docx", "A 27756-2023")</f>
        <v/>
      </c>
      <c r="AB241">
        <f>HYPERLINK("https://klasma.github.io/Logging_0765/klagomålsmail/A 27756-2023 FSC-klagomål mail.docx", "A 27756-2023")</f>
        <v/>
      </c>
      <c r="AC241">
        <f>HYPERLINK("https://klasma.github.io/Logging_0765/tillsyn/A 27756-2023 tillsynsbegäran.docx", "A 27756-2023")</f>
        <v/>
      </c>
      <c r="AD241">
        <f>HYPERLINK("https://klasma.github.io/Logging_0765/tillsynsmail/A 27756-2023 tillsynsbegäran mail.docx", "A 27756-2023")</f>
        <v/>
      </c>
    </row>
    <row r="242" ht="15" customHeight="1">
      <c r="A242" t="inlineStr">
        <is>
          <t>A 41055-2024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46311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41129-2025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46311</v>
      </c>
      <c r="F243" t="inlineStr">
        <is>
          <t>KRONOBERGS LÄN</t>
        </is>
      </c>
      <c r="G243" t="inlineStr">
        <is>
          <t>ÄLMHULT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46311</v>
      </c>
      <c r="F244" t="inlineStr">
        <is>
          <t>KRONOBERGS LÄN</t>
        </is>
      </c>
      <c r="G244" t="inlineStr">
        <is>
          <t>ÄLMHULT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64999-2023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45286</v>
      </c>
      <c r="E245" s="1" t="n">
        <v>46311</v>
      </c>
      <c r="F245" t="inlineStr">
        <is>
          <t>KRONOBERGS LÄN</t>
        </is>
      </c>
      <c r="G245" t="inlineStr">
        <is>
          <t>ÄLMHULT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46311</v>
      </c>
      <c r="F246" t="inlineStr">
        <is>
          <t>KRONOBERGS LÄN</t>
        </is>
      </c>
      <c r="G246" t="inlineStr">
        <is>
          <t>ÄLMHULT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46311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45156</v>
      </c>
      <c r="E248" s="1" t="n">
        <v>46311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46311</v>
      </c>
      <c r="F249" t="inlineStr">
        <is>
          <t>KRONOBERGS LÄN</t>
        </is>
      </c>
      <c r="G249" t="inlineStr">
        <is>
          <t>ÄLMHULT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45539</v>
      </c>
      <c r="E250" s="1" t="n">
        <v>46311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46311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46311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10.2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46311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15.3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45133</v>
      </c>
      <c r="E254" s="1" t="n">
        <v>46311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46311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46311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46311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46311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46311</v>
      </c>
      <c r="F259" t="inlineStr">
        <is>
          <t>KRONOBERGS LÄN</t>
        </is>
      </c>
      <c r="G259" t="inlineStr">
        <is>
          <t>ÄLMHULT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46311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45355</v>
      </c>
      <c r="E261" s="1" t="n">
        <v>46311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46311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46311</v>
      </c>
      <c r="F263" t="inlineStr">
        <is>
          <t>KRONOBERGS LÄN</t>
        </is>
      </c>
      <c r="G263" t="inlineStr">
        <is>
          <t>ÄLMHULT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46311</v>
      </c>
      <c r="F264" t="inlineStr">
        <is>
          <t>KRONOBERGS LÄN</t>
        </is>
      </c>
      <c r="G264" t="inlineStr">
        <is>
          <t>ÄLMHULT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45687</v>
      </c>
      <c r="E265" s="1" t="n">
        <v>46311</v>
      </c>
      <c r="F265" t="inlineStr">
        <is>
          <t>KRONOBERGS LÄN</t>
        </is>
      </c>
      <c r="G265" t="inlineStr">
        <is>
          <t>ÄLMHULT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45748</v>
      </c>
      <c r="E266" s="1" t="n">
        <v>46311</v>
      </c>
      <c r="F266" t="inlineStr">
        <is>
          <t>KRONOBERGS LÄN</t>
        </is>
      </c>
      <c r="G266" t="inlineStr">
        <is>
          <t>ÄLMHULT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46311</v>
      </c>
      <c r="F267" t="inlineStr">
        <is>
          <t>KRONOBERGS LÄN</t>
        </is>
      </c>
      <c r="G267" t="inlineStr">
        <is>
          <t>ÄLMHULT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46311</v>
      </c>
      <c r="F268" t="inlineStr">
        <is>
          <t>KRONOBERGS LÄN</t>
        </is>
      </c>
      <c r="G268" t="inlineStr">
        <is>
          <t>ÄLMHULT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45010</v>
      </c>
      <c r="E269" s="1" t="n">
        <v>46311</v>
      </c>
      <c r="F269" t="inlineStr">
        <is>
          <t>KRONOBERGS LÄN</t>
        </is>
      </c>
      <c r="G269" t="inlineStr">
        <is>
          <t>ÄLMHULT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45543</v>
      </c>
      <c r="E270" s="1" t="n">
        <v>46311</v>
      </c>
      <c r="F270" t="inlineStr">
        <is>
          <t>KRONOBERGS LÄN</t>
        </is>
      </c>
      <c r="G270" t="inlineStr">
        <is>
          <t>ÄLMHULT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45513</v>
      </c>
      <c r="E271" s="1" t="n">
        <v>46311</v>
      </c>
      <c r="F271" t="inlineStr">
        <is>
          <t>KRONOBERGS LÄN</t>
        </is>
      </c>
      <c r="G271" t="inlineStr">
        <is>
          <t>ÄLMHULT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46311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45355</v>
      </c>
      <c r="E273" s="1" t="n">
        <v>46311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46311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45564</v>
      </c>
      <c r="E275" s="1" t="n">
        <v>46311</v>
      </c>
      <c r="F275" t="inlineStr">
        <is>
          <t>KRONOBERGS LÄN</t>
        </is>
      </c>
      <c r="G275" t="inlineStr">
        <is>
          <t>ÄLMHULT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45254</v>
      </c>
      <c r="E276" s="1" t="n">
        <v>46311</v>
      </c>
      <c r="F276" t="inlineStr">
        <is>
          <t>KRONOBERGS LÄN</t>
        </is>
      </c>
      <c r="G276" t="inlineStr">
        <is>
          <t>ÄLMHULT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46311</v>
      </c>
      <c r="F277" t="inlineStr">
        <is>
          <t>KRONOBERGS LÄN</t>
        </is>
      </c>
      <c r="G277" t="inlineStr">
        <is>
          <t>ÄLMHULT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46311</v>
      </c>
      <c r="F278" t="inlineStr">
        <is>
          <t>KRONOBERGS LÄN</t>
        </is>
      </c>
      <c r="G278" t="inlineStr">
        <is>
          <t>ÄLMHULT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45720</v>
      </c>
      <c r="E279" s="1" t="n">
        <v>46311</v>
      </c>
      <c r="F279" t="inlineStr">
        <is>
          <t>KRONOBERGS LÄN</t>
        </is>
      </c>
      <c r="G279" t="inlineStr">
        <is>
          <t>ÄLMHULT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46311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18702-2026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46128</v>
      </c>
      <c r="E281" s="1" t="n">
        <v>46311</v>
      </c>
      <c r="F281" t="inlineStr">
        <is>
          <t>KRONOBERGS LÄN</t>
        </is>
      </c>
      <c r="G281" t="inlineStr">
        <is>
          <t>ÄLMHULT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46311</v>
      </c>
      <c r="F282" t="inlineStr">
        <is>
          <t>KRONOBERGS LÄN</t>
        </is>
      </c>
      <c r="G282" t="inlineStr">
        <is>
          <t>ÄLMHULT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22415-2024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45446</v>
      </c>
      <c r="E283" s="1" t="n">
        <v>46311</v>
      </c>
      <c r="F283" t="inlineStr">
        <is>
          <t>KRONOBERGS LÄN</t>
        </is>
      </c>
      <c r="G283" t="inlineStr">
        <is>
          <t>ÄLMHULT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46311</v>
      </c>
      <c r="F284" t="inlineStr">
        <is>
          <t>KRONOBERGS LÄN</t>
        </is>
      </c>
      <c r="G284" t="inlineStr">
        <is>
          <t>ÄLMHULT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46311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64773-2023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45282</v>
      </c>
      <c r="E286" s="1" t="n">
        <v>46311</v>
      </c>
      <c r="F286" t="inlineStr">
        <is>
          <t>KRONOBERGS LÄN</t>
        </is>
      </c>
      <c r="G286" t="inlineStr">
        <is>
          <t>ÄLMHULT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44686</v>
      </c>
      <c r="E287" s="1" t="n">
        <v>46311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46311</v>
      </c>
      <c r="F288" t="inlineStr">
        <is>
          <t>KRONOBERGS LÄN</t>
        </is>
      </c>
      <c r="G288" t="inlineStr">
        <is>
          <t>ÄLMHULT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46311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46311</v>
      </c>
      <c r="F290" t="inlineStr">
        <is>
          <t>KRONOBERGS LÄN</t>
        </is>
      </c>
      <c r="G290" t="inlineStr">
        <is>
          <t>ÄLMHULT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46311</v>
      </c>
      <c r="F291" t="inlineStr">
        <is>
          <t>KRONOBERGS LÄN</t>
        </is>
      </c>
      <c r="G291" t="inlineStr">
        <is>
          <t>ÄLMHULT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46311</v>
      </c>
      <c r="F292" t="inlineStr">
        <is>
          <t>KRONOBERGS LÄN</t>
        </is>
      </c>
      <c r="G292" t="inlineStr">
        <is>
          <t>ÄLMHULT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46311</v>
      </c>
      <c r="F293" t="inlineStr">
        <is>
          <t>KRONOBERGS LÄN</t>
        </is>
      </c>
      <c r="G293" t="inlineStr">
        <is>
          <t>ÄLMHULT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46311</v>
      </c>
      <c r="F294" t="inlineStr">
        <is>
          <t>KRONOBERGS LÄN</t>
        </is>
      </c>
      <c r="G294" t="inlineStr">
        <is>
          <t>ÄLMHULT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45531</v>
      </c>
      <c r="E295" s="1" t="n">
        <v>46311</v>
      </c>
      <c r="F295" t="inlineStr">
        <is>
          <t>KRONOBERGS LÄN</t>
        </is>
      </c>
      <c r="G295" t="inlineStr">
        <is>
          <t>ÄLMHULT</t>
        </is>
      </c>
      <c r="H295" t="inlineStr">
        <is>
          <t>Kyrkan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46311</v>
      </c>
      <c r="F296" t="inlineStr">
        <is>
          <t>KRONOBERGS LÄN</t>
        </is>
      </c>
      <c r="G296" t="inlineStr">
        <is>
          <t>ÄLMHULT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46311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45588</v>
      </c>
      <c r="E298" s="1" t="n">
        <v>46311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46311</v>
      </c>
      <c r="F299" t="inlineStr">
        <is>
          <t>KRONOBERGS LÄN</t>
        </is>
      </c>
      <c r="G299" t="inlineStr">
        <is>
          <t>ÄLMHULT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46311</v>
      </c>
      <c r="F300" t="inlineStr">
        <is>
          <t>KRONOBERGS LÄN</t>
        </is>
      </c>
      <c r="G300" t="inlineStr">
        <is>
          <t>ÄLMHULT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46311</v>
      </c>
      <c r="F301" t="inlineStr">
        <is>
          <t>KRONOBERGS LÄN</t>
        </is>
      </c>
      <c r="G301" t="inlineStr">
        <is>
          <t>ÄLMHULT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46311</v>
      </c>
      <c r="F302" t="inlineStr">
        <is>
          <t>KRONOBERGS LÄN</t>
        </is>
      </c>
      <c r="G302" t="inlineStr">
        <is>
          <t>ÄLMHULT</t>
        </is>
      </c>
      <c r="H302" t="inlineStr">
        <is>
          <t>Sveaskog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69454-2021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44531</v>
      </c>
      <c r="E303" s="1" t="n">
        <v>46311</v>
      </c>
      <c r="F303" t="inlineStr">
        <is>
          <t>KRONOBERGS LÄN</t>
        </is>
      </c>
      <c r="G303" t="inlineStr">
        <is>
          <t>ÄLMHULT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46311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46311</v>
      </c>
      <c r="F305" t="inlineStr">
        <is>
          <t>KRONOBERGS LÄN</t>
        </is>
      </c>
      <c r="G305" t="inlineStr">
        <is>
          <t>ÄLMHULT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44587</v>
      </c>
      <c r="E306" s="1" t="n">
        <v>46311</v>
      </c>
      <c r="F306" t="inlineStr">
        <is>
          <t>KRONOBERGS LÄN</t>
        </is>
      </c>
      <c r="G306" t="inlineStr">
        <is>
          <t>ÄLMHULT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46311</v>
      </c>
      <c r="F307" t="inlineStr">
        <is>
          <t>KRONOBERGS LÄN</t>
        </is>
      </c>
      <c r="G307" t="inlineStr">
        <is>
          <t>ÄLMHULT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45062</v>
      </c>
      <c r="E308" s="1" t="n">
        <v>46311</v>
      </c>
      <c r="F308" t="inlineStr">
        <is>
          <t>KRONOBERGS LÄN</t>
        </is>
      </c>
      <c r="G308" t="inlineStr">
        <is>
          <t>ÄLMHULT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45733</v>
      </c>
      <c r="E309" s="1" t="n">
        <v>46311</v>
      </c>
      <c r="F309" t="inlineStr">
        <is>
          <t>KRONOBERGS LÄN</t>
        </is>
      </c>
      <c r="G309" t="inlineStr">
        <is>
          <t>ÄLMHULT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46311</v>
      </c>
      <c r="F310" t="inlineStr">
        <is>
          <t>KRONOBERGS LÄN</t>
        </is>
      </c>
      <c r="G310" t="inlineStr">
        <is>
          <t>ÄLMHULT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46311</v>
      </c>
      <c r="F311" t="inlineStr">
        <is>
          <t>KRONOBERGS LÄN</t>
        </is>
      </c>
      <c r="G311" t="inlineStr">
        <is>
          <t>ÄLMHULT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44592</v>
      </c>
      <c r="E312" s="1" t="n">
        <v>46311</v>
      </c>
      <c r="F312" t="inlineStr">
        <is>
          <t>KRONOBERGS LÄN</t>
        </is>
      </c>
      <c r="G312" t="inlineStr">
        <is>
          <t>ÄLMHULT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46311</v>
      </c>
      <c r="F313" t="inlineStr">
        <is>
          <t>KRONOBERGS LÄN</t>
        </is>
      </c>
      <c r="G313" t="inlineStr">
        <is>
          <t>ÄLMHULT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46311</v>
      </c>
      <c r="F314" t="inlineStr">
        <is>
          <t>KRONOBERGS LÄN</t>
        </is>
      </c>
      <c r="G314" t="inlineStr">
        <is>
          <t>ÄLMHULT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46311</v>
      </c>
      <c r="F315" t="inlineStr">
        <is>
          <t>KRONOBERGS LÄN</t>
        </is>
      </c>
      <c r="G315" t="inlineStr">
        <is>
          <t>ÄLMHULT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45308</v>
      </c>
      <c r="E316" s="1" t="n">
        <v>46311</v>
      </c>
      <c r="F316" t="inlineStr">
        <is>
          <t>KRONOBERGS LÄN</t>
        </is>
      </c>
      <c r="G316" t="inlineStr">
        <is>
          <t>ÄLMHULT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46311</v>
      </c>
      <c r="F317" t="inlineStr">
        <is>
          <t>KRONOBERGS LÄN</t>
        </is>
      </c>
      <c r="G317" t="inlineStr">
        <is>
          <t>ÄLMHULT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45653</v>
      </c>
      <c r="E318" s="1" t="n">
        <v>46311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46311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46311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46311</v>
      </c>
      <c r="F321" t="inlineStr">
        <is>
          <t>KRONOBERGS LÄN</t>
        </is>
      </c>
      <c r="G321" t="inlineStr">
        <is>
          <t>ÄLMHULT</t>
        </is>
      </c>
      <c r="H321" t="inlineStr">
        <is>
          <t>Kommuner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48559-2022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44859</v>
      </c>
      <c r="E322" s="1" t="n">
        <v>46311</v>
      </c>
      <c r="F322" t="inlineStr">
        <is>
          <t>KRONOBERGS LÄN</t>
        </is>
      </c>
      <c r="G322" t="inlineStr">
        <is>
          <t>ÄLMHULT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11782-2022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44634</v>
      </c>
      <c r="E323" s="1" t="n">
        <v>46311</v>
      </c>
      <c r="F323" t="inlineStr">
        <is>
          <t>KRONOBERGS LÄN</t>
        </is>
      </c>
      <c r="G323" t="inlineStr">
        <is>
          <t>ÄLMHULT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46311</v>
      </c>
      <c r="F324" t="inlineStr">
        <is>
          <t>KRONOBERGS LÄN</t>
        </is>
      </c>
      <c r="G324" t="inlineStr">
        <is>
          <t>ÄLMHULT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46311</v>
      </c>
      <c r="F325" t="inlineStr">
        <is>
          <t>KRONOBERGS LÄN</t>
        </is>
      </c>
      <c r="G325" t="inlineStr">
        <is>
          <t>ÄLMHULT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46311</v>
      </c>
      <c r="F326" t="inlineStr">
        <is>
          <t>KRONOBERGS LÄN</t>
        </is>
      </c>
      <c r="G326" t="inlineStr">
        <is>
          <t>ÄLMHULT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46311</v>
      </c>
      <c r="F327" t="inlineStr">
        <is>
          <t>KRONOBERGS LÄN</t>
        </is>
      </c>
      <c r="G327" t="inlineStr">
        <is>
          <t>ÄLMHULT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44698</v>
      </c>
      <c r="E328" s="1" t="n">
        <v>46311</v>
      </c>
      <c r="F328" t="inlineStr">
        <is>
          <t>KRONOBERGS LÄN</t>
        </is>
      </c>
      <c r="G328" t="inlineStr">
        <is>
          <t>ÄLMHULT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46311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45240</v>
      </c>
      <c r="E330" s="1" t="n">
        <v>46311</v>
      </c>
      <c r="F330" t="inlineStr">
        <is>
          <t>KRONOBERGS LÄN</t>
        </is>
      </c>
      <c r="G330" t="inlineStr">
        <is>
          <t>ÄLMHULT</t>
        </is>
      </c>
      <c r="H330" t="inlineStr">
        <is>
          <t>Kyrkan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46311</v>
      </c>
      <c r="F331" t="inlineStr">
        <is>
          <t>KRONOBERGS LÄN</t>
        </is>
      </c>
      <c r="G331" t="inlineStr">
        <is>
          <t>ÄLMHULT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46311</v>
      </c>
      <c r="F332" t="inlineStr">
        <is>
          <t>KRONOBERGS LÄN</t>
        </is>
      </c>
      <c r="G332" t="inlineStr">
        <is>
          <t>ÄLMHULT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46311</v>
      </c>
      <c r="F333" t="inlineStr">
        <is>
          <t>KRONOBERGS LÄN</t>
        </is>
      </c>
      <c r="G333" t="inlineStr">
        <is>
          <t>ÄLMHULT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46311</v>
      </c>
      <c r="F334" t="inlineStr">
        <is>
          <t>KRONOBERGS LÄN</t>
        </is>
      </c>
      <c r="G334" t="inlineStr">
        <is>
          <t>ÄLMHULT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45680</v>
      </c>
      <c r="E335" s="1" t="n">
        <v>46311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45460</v>
      </c>
      <c r="E336" s="1" t="n">
        <v>46311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45693</v>
      </c>
      <c r="E337" s="1" t="n">
        <v>46311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46311</v>
      </c>
      <c r="F338" t="inlineStr">
        <is>
          <t>KRONOBERGS LÄN</t>
        </is>
      </c>
      <c r="G338" t="inlineStr">
        <is>
          <t>ÄLMHULT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46311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45078</v>
      </c>
      <c r="E340" s="1" t="n">
        <v>46311</v>
      </c>
      <c r="F340" t="inlineStr">
        <is>
          <t>KRONOBERGS LÄN</t>
        </is>
      </c>
      <c r="G340" t="inlineStr">
        <is>
          <t>ÄLMHULT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46311</v>
      </c>
      <c r="F341" t="inlineStr">
        <is>
          <t>KRONOBERGS LÄN</t>
        </is>
      </c>
      <c r="G341" t="inlineStr">
        <is>
          <t>ÄLMHULT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46311</v>
      </c>
      <c r="F342" t="inlineStr">
        <is>
          <t>KRONOBERGS LÄN</t>
        </is>
      </c>
      <c r="G342" t="inlineStr">
        <is>
          <t>ÄLMHULT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45631</v>
      </c>
      <c r="E343" s="1" t="n">
        <v>46311</v>
      </c>
      <c r="F343" t="inlineStr">
        <is>
          <t>KRONOBERGS LÄN</t>
        </is>
      </c>
      <c r="G343" t="inlineStr">
        <is>
          <t>ÄLMHULT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45180</v>
      </c>
      <c r="E344" s="1" t="n">
        <v>46311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19722-2023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45051</v>
      </c>
      <c r="E345" s="1" t="n">
        <v>46311</v>
      </c>
      <c r="F345" t="inlineStr">
        <is>
          <t>KRONOBERGS LÄN</t>
        </is>
      </c>
      <c r="G345" t="inlineStr">
        <is>
          <t>ÄLMHULT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46311</v>
      </c>
      <c r="F346" t="inlineStr">
        <is>
          <t>KRONOBERGS LÄN</t>
        </is>
      </c>
      <c r="G346" t="inlineStr">
        <is>
          <t>ÄLMHULT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45154</v>
      </c>
      <c r="E347" s="1" t="n">
        <v>46311</v>
      </c>
      <c r="F347" t="inlineStr">
        <is>
          <t>KRONOBERGS LÄN</t>
        </is>
      </c>
      <c r="G347" t="inlineStr">
        <is>
          <t>ÄLMHULT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49903-2023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45214</v>
      </c>
      <c r="E348" s="1" t="n">
        <v>46311</v>
      </c>
      <c r="F348" t="inlineStr">
        <is>
          <t>KRONOBERGS LÄN</t>
        </is>
      </c>
      <c r="G348" t="inlineStr">
        <is>
          <t>ÄLMHULT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41566-2023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45175</v>
      </c>
      <c r="E349" s="1" t="n">
        <v>46311</v>
      </c>
      <c r="F349" t="inlineStr">
        <is>
          <t>KRONOBERGS LÄN</t>
        </is>
      </c>
      <c r="G349" t="inlineStr">
        <is>
          <t>ÄLMHULT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41577-2023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45175</v>
      </c>
      <c r="E350" s="1" t="n">
        <v>46311</v>
      </c>
      <c r="F350" t="inlineStr">
        <is>
          <t>KRONOBERGS LÄN</t>
        </is>
      </c>
      <c r="G350" t="inlineStr">
        <is>
          <t>ÄLMHULT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44760</v>
      </c>
      <c r="E351" s="1" t="n">
        <v>46311</v>
      </c>
      <c r="F351" t="inlineStr">
        <is>
          <t>KRONOBERGS LÄN</t>
        </is>
      </c>
      <c r="G351" t="inlineStr">
        <is>
          <t>ÄLMHULT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46311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52757-2024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46311</v>
      </c>
      <c r="F353" t="inlineStr">
        <is>
          <t>KRONOBERGS LÄN</t>
        </is>
      </c>
      <c r="G353" t="inlineStr">
        <is>
          <t>ÄLMHULT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68212-2021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44526</v>
      </c>
      <c r="E354" s="1" t="n">
        <v>46311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46311</v>
      </c>
      <c r="F355" t="inlineStr">
        <is>
          <t>KRONOBERGS LÄN</t>
        </is>
      </c>
      <c r="G355" t="inlineStr">
        <is>
          <t>ÄLMHULT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46311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54363-2023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45233</v>
      </c>
      <c r="E357" s="1" t="n">
        <v>46311</v>
      </c>
      <c r="F357" t="inlineStr">
        <is>
          <t>KRONOBERGS LÄN</t>
        </is>
      </c>
      <c r="G357" t="inlineStr">
        <is>
          <t>ÄLMHULT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54364-2023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45233</v>
      </c>
      <c r="E358" s="1" t="n">
        <v>46311</v>
      </c>
      <c r="F358" t="inlineStr">
        <is>
          <t>KRONOBERGS LÄN</t>
        </is>
      </c>
      <c r="G358" t="inlineStr">
        <is>
          <t>ÄLMHULT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45076</v>
      </c>
      <c r="E359" s="1" t="n">
        <v>46311</v>
      </c>
      <c r="F359" t="inlineStr">
        <is>
          <t>KRONOBERGS LÄN</t>
        </is>
      </c>
      <c r="G359" t="inlineStr">
        <is>
          <t>ÄLMHULT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23380-2023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45076</v>
      </c>
      <c r="E360" s="1" t="n">
        <v>46311</v>
      </c>
      <c r="F360" t="inlineStr">
        <is>
          <t>KRONOBERGS LÄN</t>
        </is>
      </c>
      <c r="G360" t="inlineStr">
        <is>
          <t>ÄLMHULT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46147</v>
      </c>
      <c r="E361" s="1" t="n">
        <v>46311</v>
      </c>
      <c r="F361" t="inlineStr">
        <is>
          <t>KRONOBERGS LÄN</t>
        </is>
      </c>
      <c r="G361" t="inlineStr">
        <is>
          <t>ÄLMHULT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44826</v>
      </c>
      <c r="E362" s="1" t="n">
        <v>46311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46311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60621-2021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44496</v>
      </c>
      <c r="E364" s="1" t="n">
        <v>46311</v>
      </c>
      <c r="F364" t="inlineStr">
        <is>
          <t>KRONOBERGS LÄN</t>
        </is>
      </c>
      <c r="G364" t="inlineStr">
        <is>
          <t>ÄLMHULT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46311</v>
      </c>
      <c r="F365" t="inlineStr">
        <is>
          <t>KRONOBERGS LÄN</t>
        </is>
      </c>
      <c r="G365" t="inlineStr">
        <is>
          <t>ÄLMHULT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44568</v>
      </c>
      <c r="E366" s="1" t="n">
        <v>46311</v>
      </c>
      <c r="F366" t="inlineStr">
        <is>
          <t>KRONOBERGS LÄN</t>
        </is>
      </c>
      <c r="G366" t="inlineStr">
        <is>
          <t>ÄLMHULT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45612</v>
      </c>
      <c r="E367" s="1" t="n">
        <v>46311</v>
      </c>
      <c r="F367" t="inlineStr">
        <is>
          <t>KRONOBERGS LÄN</t>
        </is>
      </c>
      <c r="G367" t="inlineStr">
        <is>
          <t>ÄLMHULT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46311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46311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45748</v>
      </c>
      <c r="E370" s="1" t="n">
        <v>46311</v>
      </c>
      <c r="F370" t="inlineStr">
        <is>
          <t>KRONOBERGS LÄN</t>
        </is>
      </c>
      <c r="G370" t="inlineStr">
        <is>
          <t>ÄLMHULT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45916</v>
      </c>
      <c r="E371" s="1" t="n">
        <v>46311</v>
      </c>
      <c r="F371" t="inlineStr">
        <is>
          <t>KRONOBERGS LÄN</t>
        </is>
      </c>
      <c r="G371" t="inlineStr">
        <is>
          <t>ÄLMHULT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45679</v>
      </c>
      <c r="E372" s="1" t="n">
        <v>46311</v>
      </c>
      <c r="F372" t="inlineStr">
        <is>
          <t>KRONOBERGS LÄN</t>
        </is>
      </c>
      <c r="G372" t="inlineStr">
        <is>
          <t>ÄLMHULT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45716</v>
      </c>
      <c r="E373" s="1" t="n">
        <v>46311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41781-2023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45176</v>
      </c>
      <c r="E374" s="1" t="n">
        <v>46311</v>
      </c>
      <c r="F374" t="inlineStr">
        <is>
          <t>KRONOBERGS LÄN</t>
        </is>
      </c>
      <c r="G374" t="inlineStr">
        <is>
          <t>ÄLMHULT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44784</v>
      </c>
      <c r="E375" s="1" t="n">
        <v>46311</v>
      </c>
      <c r="F375" t="inlineStr">
        <is>
          <t>KRONOBERGS LÄN</t>
        </is>
      </c>
      <c r="G375" t="inlineStr">
        <is>
          <t>ÄLMHULT</t>
        </is>
      </c>
      <c r="H375" t="inlineStr">
        <is>
          <t>Kyrkan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46311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35481-2024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46311</v>
      </c>
      <c r="F377" t="inlineStr">
        <is>
          <t>KRONOBERGS LÄN</t>
        </is>
      </c>
      <c r="G377" t="inlineStr">
        <is>
          <t>ÄLMHULT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45348</v>
      </c>
      <c r="E378" s="1" t="n">
        <v>46311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46311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46311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44540-2025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45917</v>
      </c>
      <c r="E381" s="1" t="n">
        <v>46311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45244</v>
      </c>
      <c r="E382" s="1" t="n">
        <v>46311</v>
      </c>
      <c r="F382" t="inlineStr">
        <is>
          <t>KRONOBERGS LÄN</t>
        </is>
      </c>
      <c r="G382" t="inlineStr">
        <is>
          <t>ÄLMHULT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44542-2025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46311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46311</v>
      </c>
      <c r="F384" t="inlineStr">
        <is>
          <t>KRONOBERGS LÄN</t>
        </is>
      </c>
      <c r="G384" t="inlineStr">
        <is>
          <t>ÄLMHULT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46311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46311</v>
      </c>
      <c r="F386" t="inlineStr">
        <is>
          <t>KRONOBERGS LÄN</t>
        </is>
      </c>
      <c r="G386" t="inlineStr">
        <is>
          <t>ÄLMHULT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10272-2026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46311</v>
      </c>
      <c r="F387" t="inlineStr">
        <is>
          <t>KRONOBERGS LÄN</t>
        </is>
      </c>
      <c r="G387" t="inlineStr">
        <is>
          <t>ÄLMHULT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45253</v>
      </c>
      <c r="E388" s="1" t="n">
        <v>46311</v>
      </c>
      <c r="F388" t="inlineStr">
        <is>
          <t>KRONOBERGS LÄN</t>
        </is>
      </c>
      <c r="G388" t="inlineStr">
        <is>
          <t>ÄLMHULT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45421</v>
      </c>
      <c r="E389" s="1" t="n">
        <v>46311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46311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46311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45084</v>
      </c>
      <c r="E392" s="1" t="n">
        <v>46311</v>
      </c>
      <c r="F392" t="inlineStr">
        <is>
          <t>KRONOBERGS LÄN</t>
        </is>
      </c>
      <c r="G392" t="inlineStr">
        <is>
          <t>ÄLMHULT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60690-2021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44496</v>
      </c>
      <c r="E393" s="1" t="n">
        <v>46311</v>
      </c>
      <c r="F393" t="inlineStr">
        <is>
          <t>KRONOBERGS LÄN</t>
        </is>
      </c>
      <c r="G393" t="inlineStr">
        <is>
          <t>ÄLMHULT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12093-2025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45728</v>
      </c>
      <c r="E394" s="1" t="n">
        <v>46311</v>
      </c>
      <c r="F394" t="inlineStr">
        <is>
          <t>KRONOBERGS LÄN</t>
        </is>
      </c>
      <c r="G394" t="inlineStr">
        <is>
          <t>ÄLMHULT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45051</v>
      </c>
      <c r="E395" s="1" t="n">
        <v>46311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45268</v>
      </c>
      <c r="E396" s="1" t="n">
        <v>46311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46311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45469</v>
      </c>
      <c r="E398" s="1" t="n">
        <v>46311</v>
      </c>
      <c r="F398" t="inlineStr">
        <is>
          <t>KRONOBERGS LÄN</t>
        </is>
      </c>
      <c r="G398" t="inlineStr">
        <is>
          <t>ÄLMHULT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41485-2023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46311</v>
      </c>
      <c r="F399" t="inlineStr">
        <is>
          <t>KRONOBERGS LÄN</t>
        </is>
      </c>
      <c r="G399" t="inlineStr">
        <is>
          <t>ÄLMHULT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46311</v>
      </c>
      <c r="F400" t="inlineStr">
        <is>
          <t>KRONOBERGS LÄN</t>
        </is>
      </c>
      <c r="G400" t="inlineStr">
        <is>
          <t>ÄLMHULT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44876</v>
      </c>
      <c r="E401" s="1" t="n">
        <v>46311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46311</v>
      </c>
      <c r="F402" t="inlineStr">
        <is>
          <t>KRONOBERGS LÄN</t>
        </is>
      </c>
      <c r="G402" t="inlineStr">
        <is>
          <t>ÄLMHULT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45440</v>
      </c>
      <c r="E403" s="1" t="n">
        <v>46311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47510-2025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46311</v>
      </c>
      <c r="F404" t="inlineStr">
        <is>
          <t>KRONOBERGS LÄN</t>
        </is>
      </c>
      <c r="G404" t="inlineStr">
        <is>
          <t>ÄLMHULT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62120-2022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44921</v>
      </c>
      <c r="E405" s="1" t="n">
        <v>46311</v>
      </c>
      <c r="F405" t="inlineStr">
        <is>
          <t>KRONOBERGS LÄN</t>
        </is>
      </c>
      <c r="G405" t="inlineStr">
        <is>
          <t>ÄLMHULT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46311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52175-2024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46311</v>
      </c>
      <c r="F407" t="inlineStr">
        <is>
          <t>KRONOBERGS LÄN</t>
        </is>
      </c>
      <c r="G407" t="inlineStr">
        <is>
          <t>ÄLMHULT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46311</v>
      </c>
      <c r="F408" t="inlineStr">
        <is>
          <t>KRONOBERGS LÄN</t>
        </is>
      </c>
      <c r="G408" t="inlineStr">
        <is>
          <t>ÄLMHULT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38428-2024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45546</v>
      </c>
      <c r="E409" s="1" t="n">
        <v>46311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10087-2022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44621</v>
      </c>
      <c r="E410" s="1" t="n">
        <v>46311</v>
      </c>
      <c r="F410" t="inlineStr">
        <is>
          <t>KRONOBERGS LÄN</t>
        </is>
      </c>
      <c r="G410" t="inlineStr">
        <is>
          <t>ÄLMHULT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48331-2022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44858</v>
      </c>
      <c r="E411" s="1" t="n">
        <v>46311</v>
      </c>
      <c r="F411" t="inlineStr">
        <is>
          <t>KRONOBERGS LÄN</t>
        </is>
      </c>
      <c r="G411" t="inlineStr">
        <is>
          <t>ÄLMHULT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46311</v>
      </c>
      <c r="F412" t="inlineStr">
        <is>
          <t>KRONOBERGS LÄN</t>
        </is>
      </c>
      <c r="G412" t="inlineStr">
        <is>
          <t>ÄLMHULT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45412</v>
      </c>
      <c r="E413" s="1" t="n">
        <v>46311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46311</v>
      </c>
      <c r="F414" t="inlineStr">
        <is>
          <t>KRONOBERGS LÄN</t>
        </is>
      </c>
      <c r="G414" t="inlineStr">
        <is>
          <t>ÄLMHULT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46311</v>
      </c>
      <c r="F415" t="inlineStr">
        <is>
          <t>KRONOBERGS LÄN</t>
        </is>
      </c>
      <c r="G415" t="inlineStr">
        <is>
          <t>ÄLMHULT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8329-2022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44610</v>
      </c>
      <c r="E416" s="1" t="n">
        <v>46311</v>
      </c>
      <c r="F416" t="inlineStr">
        <is>
          <t>KRONOBERGS LÄN</t>
        </is>
      </c>
      <c r="G416" t="inlineStr">
        <is>
          <t>ÄLMHULT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44992</v>
      </c>
      <c r="E417" s="1" t="n">
        <v>46311</v>
      </c>
      <c r="F417" t="inlineStr">
        <is>
          <t>KRONOBERGS LÄN</t>
        </is>
      </c>
      <c r="G417" t="inlineStr">
        <is>
          <t>ÄLMHULT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45069-2024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45575</v>
      </c>
      <c r="E418" s="1" t="n">
        <v>46311</v>
      </c>
      <c r="F418" t="inlineStr">
        <is>
          <t>KRONOBERGS LÄN</t>
        </is>
      </c>
      <c r="G418" t="inlineStr">
        <is>
          <t>ÄLMHULT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44942</v>
      </c>
      <c r="E419" s="1" t="n">
        <v>46311</v>
      </c>
      <c r="F419" t="inlineStr">
        <is>
          <t>KRONOBERGS LÄN</t>
        </is>
      </c>
      <c r="G419" t="inlineStr">
        <is>
          <t>ÄLMHULT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46311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46311</v>
      </c>
      <c r="F421" t="inlineStr">
        <is>
          <t>KRONOBERGS LÄN</t>
        </is>
      </c>
      <c r="G421" t="inlineStr">
        <is>
          <t>ÄLMHULT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46311</v>
      </c>
      <c r="F422" t="inlineStr">
        <is>
          <t>KRONOBERGS LÄN</t>
        </is>
      </c>
      <c r="G422" t="inlineStr">
        <is>
          <t>ÄLMHULT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46311</v>
      </c>
      <c r="F423" t="inlineStr">
        <is>
          <t>KRONOBERGS LÄN</t>
        </is>
      </c>
      <c r="G423" t="inlineStr">
        <is>
          <t>ÄLMHULT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49112-2022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44860</v>
      </c>
      <c r="E424" s="1" t="n">
        <v>46311</v>
      </c>
      <c r="F424" t="inlineStr">
        <is>
          <t>KRONOBERGS LÄN</t>
        </is>
      </c>
      <c r="G424" t="inlineStr">
        <is>
          <t>ÄLMHULT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45187</v>
      </c>
      <c r="E425" s="1" t="n">
        <v>46311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65247-2023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45290</v>
      </c>
      <c r="E426" s="1" t="n">
        <v>46311</v>
      </c>
      <c r="F426" t="inlineStr">
        <is>
          <t>KRONOBERGS LÄN</t>
        </is>
      </c>
      <c r="G426" t="inlineStr">
        <is>
          <t>ÄLMHULT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45609</v>
      </c>
      <c r="E427" s="1" t="n">
        <v>46311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45217</v>
      </c>
      <c r="E428" s="1" t="n">
        <v>46311</v>
      </c>
      <c r="F428" t="inlineStr">
        <is>
          <t>KRONOBERGS LÄN</t>
        </is>
      </c>
      <c r="G428" t="inlineStr">
        <is>
          <t>ÄLMHULT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46311</v>
      </c>
      <c r="F429" t="inlineStr">
        <is>
          <t>KRONOBERGS LÄN</t>
        </is>
      </c>
      <c r="G429" t="inlineStr">
        <is>
          <t>ÄLMHULT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46311</v>
      </c>
      <c r="F430" t="inlineStr">
        <is>
          <t>KRONOBERGS LÄN</t>
        </is>
      </c>
      <c r="G430" t="inlineStr">
        <is>
          <t>ÄLMHULT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68189-2021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44526</v>
      </c>
      <c r="E431" s="1" t="n">
        <v>46311</v>
      </c>
      <c r="F431" t="inlineStr">
        <is>
          <t>KRONOBERGS LÄN</t>
        </is>
      </c>
      <c r="G431" t="inlineStr">
        <is>
          <t>ÄLMHULT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45141</v>
      </c>
      <c r="E432" s="1" t="n">
        <v>46311</v>
      </c>
      <c r="F432" t="inlineStr">
        <is>
          <t>KRONOBERGS LÄN</t>
        </is>
      </c>
      <c r="G432" t="inlineStr">
        <is>
          <t>ÄLMHULT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45359</v>
      </c>
      <c r="E433" s="1" t="n">
        <v>46311</v>
      </c>
      <c r="F433" t="inlineStr">
        <is>
          <t>KRONOBERGS LÄN</t>
        </is>
      </c>
      <c r="G433" t="inlineStr">
        <is>
          <t>ÄLMHULT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45792</v>
      </c>
      <c r="E434" s="1" t="n">
        <v>46311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46311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46311</v>
      </c>
      <c r="F436" t="inlineStr">
        <is>
          <t>KRONOBERGS LÄN</t>
        </is>
      </c>
      <c r="G436" t="inlineStr">
        <is>
          <t>ÄLMHULT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18575-2022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44687</v>
      </c>
      <c r="E437" s="1" t="n">
        <v>46311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46311</v>
      </c>
      <c r="F438" t="inlineStr">
        <is>
          <t>KRONOBERGS LÄN</t>
        </is>
      </c>
      <c r="G438" t="inlineStr">
        <is>
          <t>ÄLMHULT</t>
        </is>
      </c>
      <c r="H438" t="inlineStr">
        <is>
          <t>Kyrkan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45081</v>
      </c>
      <c r="E439" s="1" t="n">
        <v>46311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21990-2023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46311</v>
      </c>
      <c r="F440" t="inlineStr">
        <is>
          <t>KRONOBERGS LÄN</t>
        </is>
      </c>
      <c r="G440" t="inlineStr">
        <is>
          <t>ÄLMHULT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46311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45010</v>
      </c>
      <c r="E442" s="1" t="n">
        <v>46311</v>
      </c>
      <c r="F442" t="inlineStr">
        <is>
          <t>KRONOBERGS LÄN</t>
        </is>
      </c>
      <c r="G442" t="inlineStr">
        <is>
          <t>ÄLMHULT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46311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46311</v>
      </c>
      <c r="F444" t="inlineStr">
        <is>
          <t>KRONOBERGS LÄN</t>
        </is>
      </c>
      <c r="G444" t="inlineStr">
        <is>
          <t>ÄLMHULT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28707-2026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46311</v>
      </c>
      <c r="F445" t="inlineStr">
        <is>
          <t>KRONOBERGS LÄN</t>
        </is>
      </c>
      <c r="G445" t="inlineStr">
        <is>
          <t>ÄLMHULT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45048</v>
      </c>
      <c r="E446" s="1" t="n">
        <v>46311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50481-2025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45945</v>
      </c>
      <c r="E447" s="1" t="n">
        <v>46311</v>
      </c>
      <c r="F447" t="inlineStr">
        <is>
          <t>KRONOBERGS LÄN</t>
        </is>
      </c>
      <c r="G447" t="inlineStr">
        <is>
          <t>ÄLMHULT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45177</v>
      </c>
      <c r="E448" s="1" t="n">
        <v>46311</v>
      </c>
      <c r="F448" t="inlineStr">
        <is>
          <t>KRONOBERGS LÄN</t>
        </is>
      </c>
      <c r="G448" t="inlineStr">
        <is>
          <t>ÄLMHULT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45042</v>
      </c>
      <c r="E449" s="1" t="n">
        <v>46311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46311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46311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46311</v>
      </c>
      <c r="F452" t="inlineStr">
        <is>
          <t>KRONOBERGS LÄN</t>
        </is>
      </c>
      <c r="G452" t="inlineStr">
        <is>
          <t>ÄLMHULT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46311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46311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29642-2026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46311</v>
      </c>
      <c r="F455" t="inlineStr">
        <is>
          <t>KRONOBERGS LÄN</t>
        </is>
      </c>
      <c r="G455" t="inlineStr">
        <is>
          <t>ÄLMHULT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30996-2026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46311</v>
      </c>
      <c r="F456" t="inlineStr">
        <is>
          <t>KRONOBERGS LÄN</t>
        </is>
      </c>
      <c r="G456" t="inlineStr">
        <is>
          <t>ÄLMHULT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33944-2023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45134</v>
      </c>
      <c r="E457" s="1" t="n">
        <v>46311</v>
      </c>
      <c r="F457" t="inlineStr">
        <is>
          <t>KRONOBERGS LÄN</t>
        </is>
      </c>
      <c r="G457" t="inlineStr">
        <is>
          <t>ÄLMHULT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27863-2022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44743</v>
      </c>
      <c r="E458" s="1" t="n">
        <v>46311</v>
      </c>
      <c r="F458" t="inlineStr">
        <is>
          <t>KRONOBERGS LÄN</t>
        </is>
      </c>
      <c r="G458" t="inlineStr">
        <is>
          <t>ÄLMHULT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29636-2026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46311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46311</v>
      </c>
      <c r="F460" t="inlineStr">
        <is>
          <t>KRONOBERGS LÄN</t>
        </is>
      </c>
      <c r="G460" t="inlineStr">
        <is>
          <t>ÄLMHULT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46311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46311</v>
      </c>
      <c r="F462" t="inlineStr">
        <is>
          <t>KRONOBERGS LÄN</t>
        </is>
      </c>
      <c r="G462" t="inlineStr">
        <is>
          <t>ÄLMHULT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46311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46311</v>
      </c>
      <c r="F464" t="inlineStr">
        <is>
          <t>KRONOBERGS LÄN</t>
        </is>
      </c>
      <c r="G464" t="inlineStr">
        <is>
          <t>ÄLMHULT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51190-2025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45947</v>
      </c>
      <c r="E465" s="1" t="n">
        <v>46311</v>
      </c>
      <c r="F465" t="inlineStr">
        <is>
          <t>KRONOBERGS LÄN</t>
        </is>
      </c>
      <c r="G465" t="inlineStr">
        <is>
          <t>ÄLMHULT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44977</v>
      </c>
      <c r="E466" s="1" t="n">
        <v>46311</v>
      </c>
      <c r="F466" t="inlineStr">
        <is>
          <t>KRONOBERGS LÄN</t>
        </is>
      </c>
      <c r="G466" t="inlineStr">
        <is>
          <t>ÄLMHULT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45373</v>
      </c>
      <c r="E467" s="1" t="n">
        <v>46311</v>
      </c>
      <c r="F467" t="inlineStr">
        <is>
          <t>KRONOBERGS LÄN</t>
        </is>
      </c>
      <c r="G467" t="inlineStr">
        <is>
          <t>ÄLMHULT</t>
        </is>
      </c>
      <c r="H467" t="inlineStr">
        <is>
          <t>Sveaskog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11597-2024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45373</v>
      </c>
      <c r="E468" s="1" t="n">
        <v>46311</v>
      </c>
      <c r="F468" t="inlineStr">
        <is>
          <t>KRONOBERGS LÄN</t>
        </is>
      </c>
      <c r="G468" t="inlineStr">
        <is>
          <t>ÄLMHULT</t>
        </is>
      </c>
      <c r="H468" t="inlineStr">
        <is>
          <t>Sveaskog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45916</v>
      </c>
      <c r="E469" s="1" t="n">
        <v>46311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45952</v>
      </c>
      <c r="E470" s="1" t="n">
        <v>46311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56955-2024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45628</v>
      </c>
      <c r="E471" s="1" t="n">
        <v>46311</v>
      </c>
      <c r="F471" t="inlineStr">
        <is>
          <t>KRONOBERGS LÄN</t>
        </is>
      </c>
      <c r="G471" t="inlineStr">
        <is>
          <t>ÄLMHULT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45311</v>
      </c>
      <c r="E472" s="1" t="n">
        <v>46311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20964-2023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45061</v>
      </c>
      <c r="E473" s="1" t="n">
        <v>46311</v>
      </c>
      <c r="F473" t="inlineStr">
        <is>
          <t>KRONOBERGS LÄN</t>
        </is>
      </c>
      <c r="G473" t="inlineStr">
        <is>
          <t>ÄLMHULT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59631-2024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46311</v>
      </c>
      <c r="F474" t="inlineStr">
        <is>
          <t>KRONOBERGS LÄN</t>
        </is>
      </c>
      <c r="G474" t="inlineStr">
        <is>
          <t>ÄLMHULT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45638</v>
      </c>
      <c r="E475" s="1" t="n">
        <v>46311</v>
      </c>
      <c r="F475" t="inlineStr">
        <is>
          <t>KRONOBERGS LÄN</t>
        </is>
      </c>
      <c r="G475" t="inlineStr">
        <is>
          <t>ÄLMHULT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25707-2023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46311</v>
      </c>
      <c r="F476" t="inlineStr">
        <is>
          <t>KRONOBERGS LÄN</t>
        </is>
      </c>
      <c r="G476" t="inlineStr">
        <is>
          <t>ÄLMHULT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46311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46311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45612</v>
      </c>
      <c r="E479" s="1" t="n">
        <v>46311</v>
      </c>
      <c r="F479" t="inlineStr">
        <is>
          <t>KRONOBERGS LÄN</t>
        </is>
      </c>
      <c r="G479" t="inlineStr">
        <is>
          <t>ÄLMHULT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46216</v>
      </c>
      <c r="E480" s="1" t="n">
        <v>46311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46216</v>
      </c>
      <c r="E481" s="1" t="n">
        <v>46311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46216</v>
      </c>
      <c r="E482" s="1" t="n">
        <v>46311</v>
      </c>
      <c r="F482" t="inlineStr">
        <is>
          <t>KRONOBERGS LÄN</t>
        </is>
      </c>
      <c r="G482" t="inlineStr">
        <is>
          <t>ÄLMHULT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46311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46311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44942</v>
      </c>
      <c r="E485" s="1" t="n">
        <v>46311</v>
      </c>
      <c r="F485" t="inlineStr">
        <is>
          <t>KRONOBERGS LÄN</t>
        </is>
      </c>
      <c r="G485" t="inlineStr">
        <is>
          <t>ÄLMHULT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53378-2025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45959</v>
      </c>
      <c r="E486" s="1" t="n">
        <v>46311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46227</v>
      </c>
      <c r="E487" s="1" t="n">
        <v>46311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46226</v>
      </c>
      <c r="E488" s="1" t="n">
        <v>46311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46227</v>
      </c>
      <c r="E489" s="1" t="n">
        <v>46311</v>
      </c>
      <c r="F489" t="inlineStr">
        <is>
          <t>KRONOBERGS LÄN</t>
        </is>
      </c>
      <c r="G489" t="inlineStr">
        <is>
          <t>ÄLMHULT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46226</v>
      </c>
      <c r="E490" s="1" t="n">
        <v>46311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46226</v>
      </c>
      <c r="E491" s="1" t="n">
        <v>46311</v>
      </c>
      <c r="F491" t="inlineStr">
        <is>
          <t>KRONOBERGS LÄN</t>
        </is>
      </c>
      <c r="G491" t="inlineStr">
        <is>
          <t>ÄLMHULT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45700</v>
      </c>
      <c r="E492" s="1" t="n">
        <v>46311</v>
      </c>
      <c r="F492" t="inlineStr">
        <is>
          <t>KRONOBERGS LÄN</t>
        </is>
      </c>
      <c r="G492" t="inlineStr">
        <is>
          <t>ÄLMHULT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61971-2024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45653</v>
      </c>
      <c r="E493" s="1" t="n">
        <v>46311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46311</v>
      </c>
      <c r="F494" t="inlineStr">
        <is>
          <t>KRONOBERGS LÄN</t>
        </is>
      </c>
      <c r="G494" t="inlineStr">
        <is>
          <t>ÄLMHULT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46311</v>
      </c>
      <c r="F495" t="inlineStr">
        <is>
          <t>KRONOBERGS LÄN</t>
        </is>
      </c>
      <c r="G495" t="inlineStr">
        <is>
          <t>ÄLMHULT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45010</v>
      </c>
      <c r="E496" s="1" t="n">
        <v>46311</v>
      </c>
      <c r="F496" t="inlineStr">
        <is>
          <t>KRONOBERGS LÄN</t>
        </is>
      </c>
      <c r="G496" t="inlineStr">
        <is>
          <t>ÄLMHULT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45707</v>
      </c>
      <c r="E497" s="1" t="n">
        <v>46311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49442-2024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46311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46311</v>
      </c>
      <c r="F499" t="inlineStr">
        <is>
          <t>KRONOBERGS LÄN</t>
        </is>
      </c>
      <c r="G499" t="inlineStr">
        <is>
          <t>ÄLMHULT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45271</v>
      </c>
      <c r="E500" s="1" t="n">
        <v>46311</v>
      </c>
      <c r="F500" t="inlineStr">
        <is>
          <t>KRONOBERGS LÄN</t>
        </is>
      </c>
      <c r="G500" t="inlineStr">
        <is>
          <t>ÄLMHULT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46311</v>
      </c>
      <c r="F501" t="inlineStr">
        <is>
          <t>KRONOBERGS LÄN</t>
        </is>
      </c>
      <c r="G501" t="inlineStr">
        <is>
          <t>ÄLMHULT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45547</v>
      </c>
      <c r="E502" s="1" t="n">
        <v>46311</v>
      </c>
      <c r="F502" t="inlineStr">
        <is>
          <t>KRONOBERGS LÄN</t>
        </is>
      </c>
      <c r="G502" t="inlineStr">
        <is>
          <t>ÄLMHULT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46311</v>
      </c>
      <c r="F503" t="inlineStr">
        <is>
          <t>KRONOBERGS LÄN</t>
        </is>
      </c>
      <c r="G503" t="inlineStr">
        <is>
          <t>ÄLMHULT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46311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45228</v>
      </c>
      <c r="E505" s="1" t="n">
        <v>46311</v>
      </c>
      <c r="F505" t="inlineStr">
        <is>
          <t>KRONOBERGS LÄN</t>
        </is>
      </c>
      <c r="G505" t="inlineStr">
        <is>
          <t>ÄLMHULT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46311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44922</v>
      </c>
      <c r="E507" s="1" t="n">
        <v>46311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46311</v>
      </c>
      <c r="F508" t="inlineStr">
        <is>
          <t>KRONOBERGS LÄN</t>
        </is>
      </c>
      <c r="G508" t="inlineStr">
        <is>
          <t>ÄLMHULT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46311</v>
      </c>
      <c r="F509" t="inlineStr">
        <is>
          <t>KRONOBERGS LÄN</t>
        </is>
      </c>
      <c r="G509" t="inlineStr">
        <is>
          <t>ÄLMHULT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46280</v>
      </c>
      <c r="E510" s="1" t="n">
        <v>46311</v>
      </c>
      <c r="F510" t="inlineStr">
        <is>
          <t>KRONOBERGS LÄN</t>
        </is>
      </c>
      <c r="G510" t="inlineStr">
        <is>
          <t>ÄLMHULT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50073-2023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45215</v>
      </c>
      <c r="E511" s="1" t="n">
        <v>46311</v>
      </c>
      <c r="F511" t="inlineStr">
        <is>
          <t>KRONOBERGS LÄN</t>
        </is>
      </c>
      <c r="G511" t="inlineStr">
        <is>
          <t>ÄLMHULT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45303</v>
      </c>
      <c r="E512" s="1" t="n">
        <v>46311</v>
      </c>
      <c r="F512" t="inlineStr">
        <is>
          <t>KRONOBERGS LÄN</t>
        </is>
      </c>
      <c r="G512" t="inlineStr">
        <is>
          <t>ÄLMHULT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55290-2025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45969</v>
      </c>
      <c r="E513" s="1" t="n">
        <v>46311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45969</v>
      </c>
      <c r="E514" s="1" t="n">
        <v>46311</v>
      </c>
      <c r="F514" t="inlineStr">
        <is>
          <t>KRONOBERGS LÄN</t>
        </is>
      </c>
      <c r="G514" t="inlineStr">
        <is>
          <t>ÄLMHULT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46311</v>
      </c>
      <c r="F515" t="inlineStr">
        <is>
          <t>KRONOBERGS LÄN</t>
        </is>
      </c>
      <c r="G515" t="inlineStr">
        <is>
          <t>ÄLMHULT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32126-2026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46234</v>
      </c>
      <c r="E516" s="1" t="n">
        <v>46311</v>
      </c>
      <c r="F516" t="inlineStr">
        <is>
          <t>KRONOBERGS LÄN</t>
        </is>
      </c>
      <c r="G516" t="inlineStr">
        <is>
          <t>ÄLMHULT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46311</v>
      </c>
      <c r="F517" t="inlineStr">
        <is>
          <t>KRONOBERGS LÄN</t>
        </is>
      </c>
      <c r="G517" t="inlineStr">
        <is>
          <t>ÄLMHULT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45589</v>
      </c>
      <c r="E518" s="1" t="n">
        <v>46311</v>
      </c>
      <c r="F518" t="inlineStr">
        <is>
          <t>KRONOBERGS LÄN</t>
        </is>
      </c>
      <c r="G518" t="inlineStr">
        <is>
          <t>ÄLMHULT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28693-2023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46311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46311</v>
      </c>
      <c r="F520" t="inlineStr">
        <is>
          <t>KRONOBERGS LÄN</t>
        </is>
      </c>
      <c r="G520" t="inlineStr">
        <is>
          <t>ÄLMHULT</t>
        </is>
      </c>
      <c r="H520" t="inlineStr">
        <is>
          <t>Kyrkan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44777</v>
      </c>
      <c r="E521" s="1" t="n">
        <v>46311</v>
      </c>
      <c r="F521" t="inlineStr">
        <is>
          <t>KRONOBERGS LÄN</t>
        </is>
      </c>
      <c r="G521" t="inlineStr">
        <is>
          <t>ÄLMHULT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46311</v>
      </c>
      <c r="F522" t="inlineStr">
        <is>
          <t>KRONOBERGS LÄN</t>
        </is>
      </c>
      <c r="G522" t="inlineStr">
        <is>
          <t>ÄLMHULT</t>
        </is>
      </c>
      <c r="H522" t="inlineStr">
        <is>
          <t>Kyrkan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32778-2026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46240</v>
      </c>
      <c r="E523" s="1" t="n">
        <v>46311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61968-2024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45653</v>
      </c>
      <c r="E524" s="1" t="n">
        <v>46311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45706</v>
      </c>
      <c r="E525" s="1" t="n">
        <v>46311</v>
      </c>
      <c r="F525" t="inlineStr">
        <is>
          <t>KRONOBERGS LÄN</t>
        </is>
      </c>
      <c r="G525" t="inlineStr">
        <is>
          <t>ÄLMHULT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46311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13113-2025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46311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62122-2022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44921</v>
      </c>
      <c r="E528" s="1" t="n">
        <v>46311</v>
      </c>
      <c r="F528" t="inlineStr">
        <is>
          <t>KRONOBERGS LÄN</t>
        </is>
      </c>
      <c r="G528" t="inlineStr">
        <is>
          <t>ÄLMHULT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39056-2026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46311</v>
      </c>
      <c r="F529" t="inlineStr">
        <is>
          <t>KRONOBERGS LÄN</t>
        </is>
      </c>
      <c r="G529" t="inlineStr">
        <is>
          <t>ÄLMHULT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45378</v>
      </c>
      <c r="E530" s="1" t="n">
        <v>46311</v>
      </c>
      <c r="F530" t="inlineStr">
        <is>
          <t>KRONOBERGS LÄN</t>
        </is>
      </c>
      <c r="G530" t="inlineStr">
        <is>
          <t>ÄLMHULT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39022-2022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44817</v>
      </c>
      <c r="E531" s="1" t="n">
        <v>46311</v>
      </c>
      <c r="F531" t="inlineStr">
        <is>
          <t>KRONOBERGS LÄN</t>
        </is>
      </c>
      <c r="G531" t="inlineStr">
        <is>
          <t>ÄLMHULT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45759</v>
      </c>
      <c r="E532" s="1" t="n">
        <v>46311</v>
      </c>
      <c r="F532" t="inlineStr">
        <is>
          <t>KRONOBERGS LÄN</t>
        </is>
      </c>
      <c r="G532" t="inlineStr">
        <is>
          <t>ÄLMHULT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45314</v>
      </c>
      <c r="E533" s="1" t="n">
        <v>46311</v>
      </c>
      <c r="F533" t="inlineStr">
        <is>
          <t>KRONOBERGS LÄN</t>
        </is>
      </c>
      <c r="G533" t="inlineStr">
        <is>
          <t>ÄLMHULT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46311</v>
      </c>
      <c r="F534" t="inlineStr">
        <is>
          <t>KRONOBERGS LÄN</t>
        </is>
      </c>
      <c r="G534" t="inlineStr">
        <is>
          <t>ÄLMHULT</t>
        </is>
      </c>
      <c r="I534" t="n">
        <v>29.1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46311</v>
      </c>
      <c r="F535" t="inlineStr">
        <is>
          <t>KRONOBERGS LÄN</t>
        </is>
      </c>
      <c r="G535" t="inlineStr">
        <is>
          <t>ÄLMHULT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45911</v>
      </c>
      <c r="E536" s="1" t="n">
        <v>46311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48159-2024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46311</v>
      </c>
      <c r="F537" t="inlineStr">
        <is>
          <t>KRONOBERGS LÄN</t>
        </is>
      </c>
      <c r="G537" t="inlineStr">
        <is>
          <t>ÄLMHULT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46311</v>
      </c>
      <c r="F538" t="inlineStr">
        <is>
          <t>KRONOBERGS LÄN</t>
        </is>
      </c>
      <c r="G538" t="inlineStr">
        <is>
          <t>ÄLMHULT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46245</v>
      </c>
      <c r="E539" s="1" t="n">
        <v>46311</v>
      </c>
      <c r="F539" t="inlineStr">
        <is>
          <t>KRONOBERGS LÄN</t>
        </is>
      </c>
      <c r="G539" t="inlineStr">
        <is>
          <t>ÄLMHULT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46311</v>
      </c>
      <c r="F540" t="inlineStr">
        <is>
          <t>KRONOBERGS LÄN</t>
        </is>
      </c>
      <c r="G540" t="inlineStr">
        <is>
          <t>ÄLMHULT</t>
        </is>
      </c>
      <c r="I540" t="n">
        <v>9.800000000000001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46311</v>
      </c>
      <c r="F541" t="inlineStr">
        <is>
          <t>KRONOBERGS LÄN</t>
        </is>
      </c>
      <c r="G541" t="inlineStr">
        <is>
          <t>ÄLMHULT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33097-2026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46311</v>
      </c>
      <c r="F542" t="inlineStr">
        <is>
          <t>KRONOBERGS LÄN</t>
        </is>
      </c>
      <c r="G542" t="inlineStr">
        <is>
          <t>ÄLMHULT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46311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24248-2026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46311</v>
      </c>
      <c r="F544" t="inlineStr">
        <is>
          <t>KRONOBERGS LÄN</t>
        </is>
      </c>
      <c r="G544" t="inlineStr">
        <is>
          <t>ÄLMHULT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33441-2026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46247</v>
      </c>
      <c r="E545" s="1" t="n">
        <v>46311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46311</v>
      </c>
      <c r="F546" t="inlineStr">
        <is>
          <t>KRONOBERGS LÄN</t>
        </is>
      </c>
      <c r="G546" t="inlineStr">
        <is>
          <t>ÄLMHULT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43140-2024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45567</v>
      </c>
      <c r="E547" s="1" t="n">
        <v>46311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46311</v>
      </c>
      <c r="F548" t="inlineStr">
        <is>
          <t>KRONOBERGS LÄN</t>
        </is>
      </c>
      <c r="G548" t="inlineStr">
        <is>
          <t>ÄLMHULT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46311</v>
      </c>
      <c r="F549" t="inlineStr">
        <is>
          <t>KRONOBERGS LÄN</t>
        </is>
      </c>
      <c r="G549" t="inlineStr">
        <is>
          <t>ÄLMHULT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39225-2026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46287</v>
      </c>
      <c r="E550" s="1" t="n">
        <v>46311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39798-2026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46290</v>
      </c>
      <c r="E551" s="1" t="n">
        <v>46311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46311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46311</v>
      </c>
      <c r="F553" t="inlineStr">
        <is>
          <t>KRONOBERGS LÄN</t>
        </is>
      </c>
      <c r="G553" t="inlineStr">
        <is>
          <t>ÄLMHULT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46311</v>
      </c>
      <c r="F554" t="inlineStr">
        <is>
          <t>KRONOBERGS LÄN</t>
        </is>
      </c>
      <c r="G554" t="inlineStr">
        <is>
          <t>ÄLMHULT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45680</v>
      </c>
      <c r="E555" s="1" t="n">
        <v>46311</v>
      </c>
      <c r="F555" t="inlineStr">
        <is>
          <t>KRONOBERGS LÄN</t>
        </is>
      </c>
      <c r="G555" t="inlineStr">
        <is>
          <t>ÄLMHULT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45986</v>
      </c>
      <c r="E556" s="1" t="n">
        <v>46311</v>
      </c>
      <c r="F556" t="inlineStr">
        <is>
          <t>KRONOBERGS LÄN</t>
        </is>
      </c>
      <c r="G556" t="inlineStr">
        <is>
          <t>ÄLMHULT</t>
        </is>
      </c>
      <c r="H556" t="inlineStr">
        <is>
          <t>Kyrkan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45663</v>
      </c>
      <c r="E557" s="1" t="n">
        <v>46311</v>
      </c>
      <c r="F557" t="inlineStr">
        <is>
          <t>KRONOBERGS LÄN</t>
        </is>
      </c>
      <c r="G557" t="inlineStr">
        <is>
          <t>ÄLMHULT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46311</v>
      </c>
      <c r="F558" t="inlineStr">
        <is>
          <t>KRONOBERGS LÄN</t>
        </is>
      </c>
      <c r="G558" t="inlineStr">
        <is>
          <t>ÄLMHULT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45776</v>
      </c>
      <c r="E559" s="1" t="n">
        <v>46311</v>
      </c>
      <c r="F559" t="inlineStr">
        <is>
          <t>KRONOBERGS LÄN</t>
        </is>
      </c>
      <c r="G559" t="inlineStr">
        <is>
          <t>ÄLMHULT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46290</v>
      </c>
      <c r="E560" s="1" t="n">
        <v>46311</v>
      </c>
      <c r="F560" t="inlineStr">
        <is>
          <t>KRONOBERGS LÄN</t>
        </is>
      </c>
      <c r="G560" t="inlineStr">
        <is>
          <t>ÄLMHULT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46311</v>
      </c>
      <c r="F561" t="inlineStr">
        <is>
          <t>KRONOBERGS LÄN</t>
        </is>
      </c>
      <c r="G561" t="inlineStr">
        <is>
          <t>ÄLMHULT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45916</v>
      </c>
      <c r="E562" s="1" t="n">
        <v>46311</v>
      </c>
      <c r="F562" t="inlineStr">
        <is>
          <t>KRONOBERGS LÄN</t>
        </is>
      </c>
      <c r="G562" t="inlineStr">
        <is>
          <t>ÄLMHULT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46311</v>
      </c>
      <c r="F563" t="inlineStr">
        <is>
          <t>KRONOBERGS LÄN</t>
        </is>
      </c>
      <c r="G563" t="inlineStr">
        <is>
          <t>ÄLMHULT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45781</v>
      </c>
      <c r="E564" s="1" t="n">
        <v>46311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59793-2025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45992</v>
      </c>
      <c r="E565" s="1" t="n">
        <v>46311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59803-2025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45992</v>
      </c>
      <c r="E566" s="1" t="n">
        <v>46311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46311</v>
      </c>
      <c r="F567" t="inlineStr">
        <is>
          <t>KRONOBERGS LÄN</t>
        </is>
      </c>
      <c r="G567" t="inlineStr">
        <is>
          <t>ÄLMHULT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59780-2025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45992</v>
      </c>
      <c r="E568" s="1" t="n">
        <v>46311</v>
      </c>
      <c r="F568" t="inlineStr">
        <is>
          <t>KRONOBERGS LÄN</t>
        </is>
      </c>
      <c r="G568" t="inlineStr">
        <is>
          <t>ÄLMHULT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59771-2025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45992</v>
      </c>
      <c r="E569" s="1" t="n">
        <v>46311</v>
      </c>
      <c r="F569" t="inlineStr">
        <is>
          <t>KRONOBERGS LÄN</t>
        </is>
      </c>
      <c r="G569" t="inlineStr">
        <is>
          <t>ÄLMHULT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46311</v>
      </c>
      <c r="F570" t="inlineStr">
        <is>
          <t>KRONOBERGS LÄN</t>
        </is>
      </c>
      <c r="G570" t="inlineStr">
        <is>
          <t>ÄLMHULT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40318-2026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46294</v>
      </c>
      <c r="E571" s="1" t="n">
        <v>46311</v>
      </c>
      <c r="F571" t="inlineStr">
        <is>
          <t>KRONOBERGS LÄN</t>
        </is>
      </c>
      <c r="G571" t="inlineStr">
        <is>
          <t>ÄLMHULT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46294</v>
      </c>
      <c r="E572" s="1" t="n">
        <v>46311</v>
      </c>
      <c r="F572" t="inlineStr">
        <is>
          <t>KRONOBERGS LÄN</t>
        </is>
      </c>
      <c r="G572" t="inlineStr">
        <is>
          <t>ÄLMHULT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46311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46311</v>
      </c>
      <c r="F574" t="inlineStr">
        <is>
          <t>KRONOBERGS LÄN</t>
        </is>
      </c>
      <c r="G574" t="inlineStr">
        <is>
          <t>ÄLMHULT</t>
        </is>
      </c>
      <c r="H574" t="inlineStr">
        <is>
          <t>Kyrkan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59454-2024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46311</v>
      </c>
      <c r="F575" t="inlineStr">
        <is>
          <t>KRONOBERGS LÄN</t>
        </is>
      </c>
      <c r="G575" t="inlineStr">
        <is>
          <t>ÄLMHULT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16320-2024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45407</v>
      </c>
      <c r="E576" s="1" t="n">
        <v>46311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45527</v>
      </c>
      <c r="E577" s="1" t="n">
        <v>46311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46311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45719</v>
      </c>
      <c r="E579" s="1" t="n">
        <v>46311</v>
      </c>
      <c r="F579" t="inlineStr">
        <is>
          <t>KRONOBERGS LÄN</t>
        </is>
      </c>
      <c r="G579" t="inlineStr">
        <is>
          <t>ÄLMHULT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46311</v>
      </c>
      <c r="F580" t="inlineStr">
        <is>
          <t>KRONOBERGS LÄN</t>
        </is>
      </c>
      <c r="G580" t="inlineStr">
        <is>
          <t>ÄLMHULT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46311</v>
      </c>
      <c r="F581" t="inlineStr">
        <is>
          <t>KRONOBERGS LÄN</t>
        </is>
      </c>
      <c r="G581" t="inlineStr">
        <is>
          <t>ÄLMHULT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46311</v>
      </c>
      <c r="F582" t="inlineStr">
        <is>
          <t>KRONOBERGS LÄN</t>
        </is>
      </c>
      <c r="G582" t="inlineStr">
        <is>
          <t>ÄLMHULT</t>
        </is>
      </c>
      <c r="H582" t="inlineStr">
        <is>
          <t>Kommuner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46005</v>
      </c>
      <c r="E583" s="1" t="n">
        <v>46311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40484-2026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46311</v>
      </c>
      <c r="F584" t="inlineStr">
        <is>
          <t>KRONOBERGS LÄN</t>
        </is>
      </c>
      <c r="G584" t="inlineStr">
        <is>
          <t>ÄLMHULT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46311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46300</v>
      </c>
      <c r="E586" s="1" t="n">
        <v>46311</v>
      </c>
      <c r="F586" t="inlineStr">
        <is>
          <t>KRONOBERGS LÄN</t>
        </is>
      </c>
      <c r="G586" t="inlineStr">
        <is>
          <t>ÄLMHULT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27334-2025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45812</v>
      </c>
      <c r="E587" s="1" t="n">
        <v>46311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46257</v>
      </c>
      <c r="E588" s="1" t="n">
        <v>46311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46311</v>
      </c>
      <c r="F589" t="inlineStr">
        <is>
          <t>KRONOBERGS LÄN</t>
        </is>
      </c>
      <c r="G589" t="inlineStr">
        <is>
          <t>ÄLMHULT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45612</v>
      </c>
      <c r="E590" s="1" t="n">
        <v>46311</v>
      </c>
      <c r="F590" t="inlineStr">
        <is>
          <t>KRONOBERGS LÄN</t>
        </is>
      </c>
      <c r="G590" t="inlineStr">
        <is>
          <t>ÄLMHULT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46311</v>
      </c>
      <c r="F591" t="inlineStr">
        <is>
          <t>KRONOBERGS LÄN</t>
        </is>
      </c>
      <c r="G591" t="inlineStr">
        <is>
          <t>ÄLMHULT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46311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63742-2025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46016</v>
      </c>
      <c r="E593" s="1" t="n">
        <v>46311</v>
      </c>
      <c r="F593" t="inlineStr">
        <is>
          <t>KRONOBERGS LÄN</t>
        </is>
      </c>
      <c r="G593" t="inlineStr">
        <is>
          <t>ÄLMHULT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46311</v>
      </c>
      <c r="F594" t="inlineStr">
        <is>
          <t>KRONOBERGS LÄN</t>
        </is>
      </c>
      <c r="G594" t="inlineStr">
        <is>
          <t>ÄLMHULT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46311</v>
      </c>
      <c r="F595" t="inlineStr">
        <is>
          <t>KRONOBERGS LÄN</t>
        </is>
      </c>
      <c r="G595" t="inlineStr">
        <is>
          <t>ÄLMHULT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41609-2026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46311</v>
      </c>
      <c r="F596" t="inlineStr">
        <is>
          <t>KRONOBERGS LÄN</t>
        </is>
      </c>
      <c r="G596" t="inlineStr">
        <is>
          <t>ÄLMHULT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46311</v>
      </c>
      <c r="F597" t="inlineStr">
        <is>
          <t>KRONOBERGS LÄN</t>
        </is>
      </c>
      <c r="G597" t="inlineStr">
        <is>
          <t>ÄLMHULT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46311</v>
      </c>
      <c r="F598" t="inlineStr">
        <is>
          <t>KRONOBERGS LÄN</t>
        </is>
      </c>
      <c r="G598" t="inlineStr">
        <is>
          <t>ÄLMHULT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41816-2026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46303</v>
      </c>
      <c r="E599" s="1" t="n">
        <v>46311</v>
      </c>
      <c r="F599" t="inlineStr">
        <is>
          <t>KRONOBERGS LÄN</t>
        </is>
      </c>
      <c r="G599" t="inlineStr">
        <is>
          <t>ÄLMHULT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46038</v>
      </c>
      <c r="E600" s="1" t="n">
        <v>46311</v>
      </c>
      <c r="F600" t="inlineStr">
        <is>
          <t>KRONOBERGS LÄN</t>
        </is>
      </c>
      <c r="G600" t="inlineStr">
        <is>
          <t>ÄLMHULT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46037</v>
      </c>
      <c r="E601" s="1" t="n">
        <v>46311</v>
      </c>
      <c r="F601" t="inlineStr">
        <is>
          <t>KRONOBERGS LÄN</t>
        </is>
      </c>
      <c r="G601" t="inlineStr">
        <is>
          <t>ÄLMHULT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46311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41813-2026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46311</v>
      </c>
      <c r="F603" t="inlineStr">
        <is>
          <t>KRONOBERGS LÄN</t>
        </is>
      </c>
      <c r="G603" t="inlineStr">
        <is>
          <t>ÄLMHULT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46307</v>
      </c>
      <c r="E604" s="1" t="n">
        <v>46311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42358-2026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46307</v>
      </c>
      <c r="E605" s="1" t="n">
        <v>46311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42355-2026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46307</v>
      </c>
      <c r="E606" s="1" t="n">
        <v>46311</v>
      </c>
      <c r="F606" t="inlineStr">
        <is>
          <t>KRONOBERGS LÄN</t>
        </is>
      </c>
      <c r="G606" t="inlineStr">
        <is>
          <t>ÄLMHULT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46311</v>
      </c>
      <c r="F607" t="inlineStr">
        <is>
          <t>KRONOBERGS LÄN</t>
        </is>
      </c>
      <c r="G607" t="inlineStr">
        <is>
          <t>ÄLMHULT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46307</v>
      </c>
      <c r="E608" s="1" t="n">
        <v>46311</v>
      </c>
      <c r="F608" t="inlineStr">
        <is>
          <t>KRONOBERGS LÄN</t>
        </is>
      </c>
      <c r="G608" t="inlineStr">
        <is>
          <t>ÄLMHULT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46311</v>
      </c>
      <c r="F609" t="inlineStr">
        <is>
          <t>KRONOBERGS LÄN</t>
        </is>
      </c>
      <c r="G609" t="inlineStr">
        <is>
          <t>ÄLMHULT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46311</v>
      </c>
      <c r="F610" t="inlineStr">
        <is>
          <t>KRONOBERGS LÄN</t>
        </is>
      </c>
      <c r="G610" t="inlineStr">
        <is>
          <t>ÄLMHULT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35478-2026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46262</v>
      </c>
      <c r="E611" s="1" t="n">
        <v>46311</v>
      </c>
      <c r="F611" t="inlineStr">
        <is>
          <t>KRONOBERGS LÄN</t>
        </is>
      </c>
      <c r="G611" t="inlineStr">
        <is>
          <t>ÄLMHULT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46311</v>
      </c>
      <c r="F612" t="inlineStr">
        <is>
          <t>KRONOBERGS LÄN</t>
        </is>
      </c>
      <c r="G612" t="inlineStr">
        <is>
          <t>ÄLMHULT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7594-2026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46061</v>
      </c>
      <c r="E613" s="1" t="n">
        <v>46311</v>
      </c>
      <c r="F613" t="inlineStr">
        <is>
          <t>KRONOBERGS LÄN</t>
        </is>
      </c>
      <c r="G613" t="inlineStr">
        <is>
          <t>ÄLMHULT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8102-2026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46063</v>
      </c>
      <c r="E614" s="1" t="n">
        <v>46311</v>
      </c>
      <c r="F614" t="inlineStr">
        <is>
          <t>KRONOBERGS LÄN</t>
        </is>
      </c>
      <c r="G614" t="inlineStr">
        <is>
          <t>ÄLMHULT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8566-2026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46311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46311</v>
      </c>
      <c r="F616" t="inlineStr">
        <is>
          <t>KRONOBERGS LÄN</t>
        </is>
      </c>
      <c r="G616" t="inlineStr">
        <is>
          <t>ÄLMHULT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46311</v>
      </c>
      <c r="F617" t="inlineStr">
        <is>
          <t>KRONOBERGS LÄN</t>
        </is>
      </c>
      <c r="G617" t="inlineStr">
        <is>
          <t>ÄLMHULT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30322-2025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45827</v>
      </c>
      <c r="E618" s="1" t="n">
        <v>46311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13146-2026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46311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46311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46311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46311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46311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46311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46311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46311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46311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46311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46311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46311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46311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46311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46311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46311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46311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46311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46311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2026-10-16T02:15:49Z</dcterms:created>
  <dcterms:modified xmlns:dcterms="http://purl.org/dc/terms/" xmlns:xsi="http://www.w3.org/2001/XMLSchema-instance" xsi:type="dcterms:W3CDTF">2026-10-16T02:15:49Z</dcterms:modified>
</cp:coreProperties>
</file>