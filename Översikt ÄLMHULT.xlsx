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46220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Gulsparv
Trädlärka</t>
        </is>
      </c>
      <c r="V9">
        <f>HYPERLINK("https://klasma.github.io/Logging_0765/artfynd/A 55971-2022 artfynd.xlsx", "A 55971-2022")</f>
        <v/>
      </c>
      <c r="W9">
        <f>HYPERLINK("https://klasma.github.io/Logging_0765/kartor/A 55971-2022 karta.png", "A 55971-2022")</f>
        <v/>
      </c>
      <c r="Y9">
        <f>HYPERLINK("https://klasma.github.io/Logging_0765/klagomål/A 55971-2022 FSC-klagomål.docx", "A 55971-2022")</f>
        <v/>
      </c>
      <c r="Z9">
        <f>HYPERLINK("https://klasma.github.io/Logging_0765/klagomålsmail/A 55971-2022 FSC-klagomål mail.docx", "A 55971-2022")</f>
        <v/>
      </c>
      <c r="AA9">
        <f>HYPERLINK("https://klasma.github.io/Logging_0765/tillsyn/A 55971-2022 tillsynsbegäran.docx", "A 55971-2022")</f>
        <v/>
      </c>
      <c r="AB9">
        <f>HYPERLINK("https://klasma.github.io/Logging_0765/tillsynsmail/A 55971-2022 tillsynsbegäran mail.docx", "A 55971-2022")</f>
        <v/>
      </c>
      <c r="AC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46220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Mattlummer
Lopplummer (aggregat)</t>
        </is>
      </c>
      <c r="V10">
        <f>HYPERLINK("https://klasma.github.io/Logging_0765/artfynd/A 28325-2025 artfynd.xlsx", "A 28325-2025")</f>
        <v/>
      </c>
      <c r="W10">
        <f>HYPERLINK("https://klasma.github.io/Logging_0765/kartor/A 28325-2025 karta.png", "A 28325-2025")</f>
        <v/>
      </c>
      <c r="Y10">
        <f>HYPERLINK("https://klasma.github.io/Logging_0765/klagomål/A 28325-2025 FSC-klagomål.docx", "A 28325-2025")</f>
        <v/>
      </c>
      <c r="Z10">
        <f>HYPERLINK("https://klasma.github.io/Logging_0765/klagomålsmail/A 28325-2025 FSC-klagomål mail.docx", "A 28325-2025")</f>
        <v/>
      </c>
      <c r="AA10">
        <f>HYPERLINK("https://klasma.github.io/Logging_0765/tillsyn/A 28325-2025 tillsynsbegäran.docx", "A 28325-2025")</f>
        <v/>
      </c>
      <c r="AB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46220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Gulnål
Ärtsångare</t>
        </is>
      </c>
      <c r="V11">
        <f>HYPERLINK("https://klasma.github.io/Logging_0765/artfynd/A 14429-2023 artfynd.xlsx", "A 14429-2023")</f>
        <v/>
      </c>
      <c r="W11">
        <f>HYPERLINK("https://klasma.github.io/Logging_0765/kartor/A 14429-2023 karta.png", "A 14429-2023")</f>
        <v/>
      </c>
      <c r="Y11">
        <f>HYPERLINK("https://klasma.github.io/Logging_0765/klagomål/A 14429-2023 FSC-klagomål.docx", "A 14429-2023")</f>
        <v/>
      </c>
      <c r="Z11">
        <f>HYPERLINK("https://klasma.github.io/Logging_0765/klagomålsmail/A 14429-2023 FSC-klagomål mail.docx", "A 14429-2023")</f>
        <v/>
      </c>
      <c r="AA11">
        <f>HYPERLINK("https://klasma.github.io/Logging_0765/tillsyn/A 14429-2023 tillsynsbegäran.docx", "A 14429-2023")</f>
        <v/>
      </c>
      <c r="AB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46220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s="2" t="inlineStr">
        <is>
          <t>Vedtrappmossa
Blåsfliksmossa</t>
        </is>
      </c>
      <c r="V12">
        <f>HYPERLINK("https://klasma.github.io/Logging_0765/artfynd/A 43196-2023 artfynd.xlsx", "A 43196-2023")</f>
        <v/>
      </c>
      <c r="W12">
        <f>HYPERLINK("https://klasma.github.io/Logging_0765/kartor/A 43196-2023 karta.png", "A 43196-2023")</f>
        <v/>
      </c>
      <c r="Y12">
        <f>HYPERLINK("https://klasma.github.io/Logging_0765/klagomål/A 43196-2023 FSC-klagomål.docx", "A 43196-2023")</f>
        <v/>
      </c>
      <c r="Z12">
        <f>HYPERLINK("https://klasma.github.io/Logging_0765/klagomålsmail/A 43196-2023 FSC-klagomål mail.docx", "A 43196-2023")</f>
        <v/>
      </c>
      <c r="AA12">
        <f>HYPERLINK("https://klasma.github.io/Logging_0765/tillsyn/A 43196-2023 tillsynsbegäran.docx", "A 43196-2023")</f>
        <v/>
      </c>
      <c r="AB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46220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46220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s="2" t="inlineStr">
        <is>
          <t>Sexfläckig bastardsvärmare
Silverblåvinge</t>
        </is>
      </c>
      <c r="V14">
        <f>HYPERLINK("https://klasma.github.io/Logging_0765/artfynd/A 54633-2022 artfynd.xlsx", "A 54633-2022")</f>
        <v/>
      </c>
      <c r="W14">
        <f>HYPERLINK("https://klasma.github.io/Logging_0765/kartor/A 54633-2022 karta.png", "A 54633-2022")</f>
        <v/>
      </c>
      <c r="Y14">
        <f>HYPERLINK("https://klasma.github.io/Logging_0765/klagomål/A 54633-2022 FSC-klagomål.docx", "A 54633-2022")</f>
        <v/>
      </c>
      <c r="Z14">
        <f>HYPERLINK("https://klasma.github.io/Logging_0765/klagomålsmail/A 54633-2022 FSC-klagomål mail.docx", "A 54633-2022")</f>
        <v/>
      </c>
      <c r="AA14">
        <f>HYPERLINK("https://klasma.github.io/Logging_0765/tillsyn/A 54633-2022 tillsynsbegäran.docx", "A 54633-2022")</f>
        <v/>
      </c>
      <c r="AB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46220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Y15">
        <f>HYPERLINK("https://klasma.github.io/Logging_0765/klagomål/A 25207-2026 FSC-klagomål.docx", "A 25207-2026")</f>
        <v/>
      </c>
      <c r="Z15">
        <f>HYPERLINK("https://klasma.github.io/Logging_0765/klagomålsmail/A 25207-2026 FSC-klagomål mail.docx", "A 25207-2026")</f>
        <v/>
      </c>
      <c r="AA15">
        <f>HYPERLINK("https://klasma.github.io/Logging_0765/tillsyn/A 25207-2026 tillsynsbegäran.docx", "A 25207-2026")</f>
        <v/>
      </c>
      <c r="AB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46220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46220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46220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46220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HYPERLINK("https://klasma.github.io/Logging_0765/artfynd/A 41717-2024 artfynd.xlsx", "A 41717-2024")</f>
        <v/>
      </c>
      <c r="W20">
        <f>HYPERLINK("https://klasma.github.io/Logging_0765/kartor/A 41717-2024 karta.png", "A 41717-2024")</f>
        <v/>
      </c>
      <c r="Y20">
        <f>HYPERLINK("https://klasma.github.io/Logging_0765/klagomål/A 41717-2024 FSC-klagomål.docx", "A 41717-2024")</f>
        <v/>
      </c>
      <c r="Z20">
        <f>HYPERLINK("https://klasma.github.io/Logging_0765/klagomålsmail/A 41717-2024 FSC-klagomål mail.docx", "A 41717-2024")</f>
        <v/>
      </c>
      <c r="AA20">
        <f>HYPERLINK("https://klasma.github.io/Logging_0765/tillsyn/A 41717-2024 tillsynsbegäran.docx", "A 41717-2024")</f>
        <v/>
      </c>
      <c r="AB20">
        <f>HYPERLINK("https://klasma.github.io/Logging_0765/tillsynsmail/A 41717-2024 tillsynsbegäran mail.docx", "A 41717-2024")</f>
        <v/>
      </c>
      <c r="AC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46220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46220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Borsttåg</t>
        </is>
      </c>
      <c r="V22">
        <f>HYPERLINK("https://klasma.github.io/Logging_0765/artfynd/A 18747-2025 artfynd.xlsx", "A 18747-2025")</f>
        <v/>
      </c>
      <c r="W22">
        <f>HYPERLINK("https://klasma.github.io/Logging_0765/kartor/A 18747-2025 karta.png", "A 18747-2025")</f>
        <v/>
      </c>
      <c r="Y22">
        <f>HYPERLINK("https://klasma.github.io/Logging_0765/klagomål/A 18747-2025 FSC-klagomål.docx", "A 18747-2025")</f>
        <v/>
      </c>
      <c r="Z22">
        <f>HYPERLINK("https://klasma.github.io/Logging_0765/klagomålsmail/A 18747-2025 FSC-klagomål mail.docx", "A 18747-2025")</f>
        <v/>
      </c>
      <c r="AA22">
        <f>HYPERLINK("https://klasma.github.io/Logging_0765/tillsyn/A 18747-2025 tillsynsbegäran.docx", "A 18747-2025")</f>
        <v/>
      </c>
      <c r="AB22">
        <f>HYPERLINK("https://klasma.github.io/Logging_0765/tillsynsmail/A 18747-2025 tillsynsbegäran mail.docx", "A 18747-2025")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46220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Sparvuggla</t>
        </is>
      </c>
      <c r="V23">
        <f>HYPERLINK("https://klasma.github.io/Logging_0765/artfynd/A 48196-2025 artfynd.xlsx", "A 48196-2025")</f>
        <v/>
      </c>
      <c r="W23">
        <f>HYPERLINK("https://klasma.github.io/Logging_0765/kartor/A 48196-2025 karta.png", "A 48196-2025")</f>
        <v/>
      </c>
      <c r="Y23">
        <f>HYPERLINK("https://klasma.github.io/Logging_0765/klagomål/A 48196-2025 FSC-klagomål.docx", "A 48196-2025")</f>
        <v/>
      </c>
      <c r="Z23">
        <f>HYPERLINK("https://klasma.github.io/Logging_0765/klagomålsmail/A 48196-2025 FSC-klagomål mail.docx", "A 48196-2025")</f>
        <v/>
      </c>
      <c r="AA23">
        <f>HYPERLINK("https://klasma.github.io/Logging_0765/tillsyn/A 48196-2025 tillsynsbegäran.docx", "A 48196-2025")</f>
        <v/>
      </c>
      <c r="AB23">
        <f>HYPERLINK("https://klasma.github.io/Logging_0765/tillsynsmail/A 48196-2025 tillsynsbegäran mail.docx", "A 48196-2025")</f>
        <v/>
      </c>
      <c r="AC23">
        <f>HYPERLINK("https://klasma.github.io/Logging_0765/fåglar/A 48196-2025 prioriterade fågelarter.docx", "A 48196-2025")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46220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Sparvuggla</t>
        </is>
      </c>
      <c r="V24">
        <f>HYPERLINK("https://klasma.github.io/Logging_0765/artfynd/A 35531-2025 artfynd.xlsx", "A 35531-2025")</f>
        <v/>
      </c>
      <c r="W24">
        <f>HYPERLINK("https://klasma.github.io/Logging_0765/kartor/A 35531-2025 karta.png", "A 35531-2025")</f>
        <v/>
      </c>
      <c r="Y24">
        <f>HYPERLINK("https://klasma.github.io/Logging_0765/klagomål/A 35531-2025 FSC-klagomål.docx", "A 35531-2025")</f>
        <v/>
      </c>
      <c r="Z24">
        <f>HYPERLINK("https://klasma.github.io/Logging_0765/klagomålsmail/A 35531-2025 FSC-klagomål mail.docx", "A 35531-2025")</f>
        <v/>
      </c>
      <c r="AA24">
        <f>HYPERLINK("https://klasma.github.io/Logging_0765/tillsyn/A 35531-2025 tillsynsbegäran.docx", "A 35531-2025")</f>
        <v/>
      </c>
      <c r="AB24">
        <f>HYPERLINK("https://klasma.github.io/Logging_0765/tillsynsmail/A 35531-2025 tillsynsbegäran mail.docx", "A 35531-2025")</f>
        <v/>
      </c>
      <c r="AC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46220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Solvända</t>
        </is>
      </c>
      <c r="V25">
        <f>HYPERLINK("https://klasma.github.io/Logging_0765/artfynd/A 58048-2024 artfynd.xlsx", "A 58048-2024")</f>
        <v/>
      </c>
      <c r="W25">
        <f>HYPERLINK("https://klasma.github.io/Logging_0765/kartor/A 58048-2024 karta.png", "A 58048-2024")</f>
        <v/>
      </c>
      <c r="Y25">
        <f>HYPERLINK("https://klasma.github.io/Logging_0765/klagomål/A 58048-2024 FSC-klagomål.docx", "A 58048-2024")</f>
        <v/>
      </c>
      <c r="Z25">
        <f>HYPERLINK("https://klasma.github.io/Logging_0765/klagomålsmail/A 58048-2024 FSC-klagomål mail.docx", "A 58048-2024")</f>
        <v/>
      </c>
      <c r="AA25">
        <f>HYPERLINK("https://klasma.github.io/Logging_0765/tillsyn/A 58048-2024 tillsynsbegäran.docx", "A 58048-2024")</f>
        <v/>
      </c>
      <c r="AB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46220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HYPERLINK("https://klasma.github.io/Logging_0765/artfynd/A 50892-2023 artfynd.xlsx", "A 50892-2023")</f>
        <v/>
      </c>
      <c r="W26">
        <f>HYPERLINK("https://klasma.github.io/Logging_0765/kartor/A 50892-2023 karta.png", "A 50892-2023")</f>
        <v/>
      </c>
      <c r="Y26">
        <f>HYPERLINK("https://klasma.github.io/Logging_0765/klagomål/A 50892-2023 FSC-klagomål.docx", "A 50892-2023")</f>
        <v/>
      </c>
      <c r="Z26">
        <f>HYPERLINK("https://klasma.github.io/Logging_0765/klagomålsmail/A 50892-2023 FSC-klagomål mail.docx", "A 50892-2023")</f>
        <v/>
      </c>
      <c r="AA26">
        <f>HYPERLINK("https://klasma.github.io/Logging_0765/tillsyn/A 50892-2023 tillsynsbegäran.docx", "A 50892-2023")</f>
        <v/>
      </c>
      <c r="AB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46220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Slåtterfibbla</t>
        </is>
      </c>
      <c r="V27">
        <f>HYPERLINK("https://klasma.github.io/Logging_0765/artfynd/A 18943-2026 artfynd.xlsx", "A 18943-2026")</f>
        <v/>
      </c>
      <c r="W27">
        <f>HYPERLINK("https://klasma.github.io/Logging_0765/kartor/A 18943-2026 karta.png", "A 18943-2026")</f>
        <v/>
      </c>
      <c r="Y27">
        <f>HYPERLINK("https://klasma.github.io/Logging_0765/klagomål/A 18943-2026 FSC-klagomål.docx", "A 18943-2026")</f>
        <v/>
      </c>
      <c r="Z27">
        <f>HYPERLINK("https://klasma.github.io/Logging_0765/klagomålsmail/A 18943-2026 FSC-klagomål mail.docx", "A 18943-2026")</f>
        <v/>
      </c>
      <c r="AA27">
        <f>HYPERLINK("https://klasma.github.io/Logging_0765/tillsyn/A 18943-2026 tillsynsbegäran.docx", "A 18943-2026")</f>
        <v/>
      </c>
      <c r="AB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46220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Blåmossa</t>
        </is>
      </c>
      <c r="V28">
        <f>HYPERLINK("https://klasma.github.io/Logging_0765/artfynd/A 19196-2025 artfynd.xlsx", "A 19196-2025")</f>
        <v/>
      </c>
      <c r="W28">
        <f>HYPERLINK("https://klasma.github.io/Logging_0765/kartor/A 19196-2025 karta.png", "A 19196-2025")</f>
        <v/>
      </c>
      <c r="Y28">
        <f>HYPERLINK("https://klasma.github.io/Logging_0765/klagomål/A 19196-2025 FSC-klagomål.docx", "A 19196-2025")</f>
        <v/>
      </c>
      <c r="Z28">
        <f>HYPERLINK("https://klasma.github.io/Logging_0765/klagomålsmail/A 19196-2025 FSC-klagomål mail.docx", "A 19196-2025")</f>
        <v/>
      </c>
      <c r="AA28">
        <f>HYPERLINK("https://klasma.github.io/Logging_0765/tillsyn/A 19196-2025 tillsynsbegäran.docx", "A 19196-2025")</f>
        <v/>
      </c>
      <c r="AB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46220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Tofsvipa</t>
        </is>
      </c>
      <c r="V29">
        <f>HYPERLINK("https://klasma.github.io/Logging_0765/artfynd/A 13196-2024 artfynd.xlsx", "A 13196-2024")</f>
        <v/>
      </c>
      <c r="W29">
        <f>HYPERLINK("https://klasma.github.io/Logging_0765/kartor/A 13196-2024 karta.png", "A 13196-2024")</f>
        <v/>
      </c>
      <c r="Y29">
        <f>HYPERLINK("https://klasma.github.io/Logging_0765/klagomål/A 13196-2024 FSC-klagomål.docx", "A 13196-2024")</f>
        <v/>
      </c>
      <c r="Z29">
        <f>HYPERLINK("https://klasma.github.io/Logging_0765/klagomålsmail/A 13196-2024 FSC-klagomål mail.docx", "A 13196-2024")</f>
        <v/>
      </c>
      <c r="AA29">
        <f>HYPERLINK("https://klasma.github.io/Logging_0765/tillsyn/A 13196-2024 tillsynsbegäran.docx", "A 13196-2024")</f>
        <v/>
      </c>
      <c r="AB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46220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HYPERLINK("https://klasma.github.io/Logging_0765/artfynd/A 10199-2025 artfynd.xlsx", "A 10199-2025")</f>
        <v/>
      </c>
      <c r="W30">
        <f>HYPERLINK("https://klasma.github.io/Logging_0765/kartor/A 10199-2025 karta.png", "A 10199-2025")</f>
        <v/>
      </c>
      <c r="Y30">
        <f>HYPERLINK("https://klasma.github.io/Logging_0765/klagomål/A 10199-2025 FSC-klagomål.docx", "A 10199-2025")</f>
        <v/>
      </c>
      <c r="Z30">
        <f>HYPERLINK("https://klasma.github.io/Logging_0765/klagomålsmail/A 10199-2025 FSC-klagomål mail.docx", "A 10199-2025")</f>
        <v/>
      </c>
      <c r="AA30">
        <f>HYPERLINK("https://klasma.github.io/Logging_0765/tillsyn/A 10199-2025 tillsynsbegäran.docx", "A 10199-2025")</f>
        <v/>
      </c>
      <c r="AB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46220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Grönpyrola</t>
        </is>
      </c>
      <c r="V31">
        <f>HYPERLINK("https://klasma.github.io/Logging_0765/artfynd/A 54470-2022 artfynd.xlsx", "A 54470-2022")</f>
        <v/>
      </c>
      <c r="W31">
        <f>HYPERLINK("https://klasma.github.io/Logging_0765/kartor/A 54470-2022 karta.png", "A 54470-2022")</f>
        <v/>
      </c>
      <c r="Y31">
        <f>HYPERLINK("https://klasma.github.io/Logging_0765/klagomål/A 54470-2022 FSC-klagomål.docx", "A 54470-2022")</f>
        <v/>
      </c>
      <c r="Z31">
        <f>HYPERLINK("https://klasma.github.io/Logging_0765/klagomålsmail/A 54470-2022 FSC-klagomål mail.docx", "A 54470-2022")</f>
        <v/>
      </c>
      <c r="AA31">
        <f>HYPERLINK("https://klasma.github.io/Logging_0765/tillsyn/A 54470-2022 tillsynsbegäran.docx", "A 54470-2022")</f>
        <v/>
      </c>
      <c r="AB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46220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Silversmygare</t>
        </is>
      </c>
      <c r="V32">
        <f>HYPERLINK("https://klasma.github.io/Logging_0765/artfynd/A 64296-2023 artfynd.xlsx", "A 64296-2023")</f>
        <v/>
      </c>
      <c r="W32">
        <f>HYPERLINK("https://klasma.github.io/Logging_0765/kartor/A 64296-2023 karta.png", "A 64296-2023")</f>
        <v/>
      </c>
      <c r="Y32">
        <f>HYPERLINK("https://klasma.github.io/Logging_0765/klagomål/A 64296-2023 FSC-klagomål.docx", "A 64296-2023")</f>
        <v/>
      </c>
      <c r="Z32">
        <f>HYPERLINK("https://klasma.github.io/Logging_0765/klagomålsmail/A 64296-2023 FSC-klagomål mail.docx", "A 64296-2023")</f>
        <v/>
      </c>
      <c r="AA32">
        <f>HYPERLINK("https://klasma.github.io/Logging_0765/tillsyn/A 64296-2023 tillsynsbegäran.docx", "A 64296-2023")</f>
        <v/>
      </c>
      <c r="AB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46220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Utter</t>
        </is>
      </c>
      <c r="V33">
        <f>HYPERLINK("https://klasma.github.io/Logging_0765/artfynd/A 29778-2026 artfynd.xlsx", "A 29778-2026")</f>
        <v/>
      </c>
      <c r="W33">
        <f>HYPERLINK("https://klasma.github.io/Logging_0765/kartor/A 29778-2026 karta.png", "A 29778-2026")</f>
        <v/>
      </c>
      <c r="Y33">
        <f>HYPERLINK("https://klasma.github.io/Logging_0765/klagomål/A 29778-2026 FSC-klagomål.docx", "A 29778-2026")</f>
        <v/>
      </c>
      <c r="Z33">
        <f>HYPERLINK("https://klasma.github.io/Logging_0765/klagomålsmail/A 29778-2026 FSC-klagomål mail.docx", "A 29778-2026")</f>
        <v/>
      </c>
      <c r="AA33">
        <f>HYPERLINK("https://klasma.github.io/Logging_0765/tillsyn/A 29778-2026 tillsynsbegäran.docx", "A 29778-2026")</f>
        <v/>
      </c>
      <c r="AB33">
        <f>HYPERLINK("https://klasma.github.io/Logging_0765/tillsynsmail/A 29778-2026 tillsynsbegäran mail.docx", "A 29778-2026")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46220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46220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46220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46220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46220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46220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46220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46220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46220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46220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46220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46220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54722-2021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46220</v>
      </c>
      <c r="F46" t="inlineStr">
        <is>
          <t>KRONOBERGS LÄN</t>
        </is>
      </c>
      <c r="G46" t="inlineStr">
        <is>
          <t>ÄLMHULT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46220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46220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46220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46220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65192-2021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46220</v>
      </c>
      <c r="F51" t="inlineStr">
        <is>
          <t>KRONOBERGS LÄN</t>
        </is>
      </c>
      <c r="G51" t="inlineStr">
        <is>
          <t>ÄLMHULT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46220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35967-2022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44802</v>
      </c>
      <c r="E53" s="1" t="n">
        <v>46220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46220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46220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46220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46220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46220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46220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46220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46220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46220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46220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46220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46220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46220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46220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46220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42268-2021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46220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46220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44690</v>
      </c>
      <c r="E71" s="1" t="n">
        <v>46220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46220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46220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46220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46220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47414-2021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44447</v>
      </c>
      <c r="E76" s="1" t="n">
        <v>46220</v>
      </c>
      <c r="F76" t="inlineStr">
        <is>
          <t>KRONOBERGS LÄN</t>
        </is>
      </c>
      <c r="G76" t="inlineStr">
        <is>
          <t>ÄLMHULT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46220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62684-2021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46220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46220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46220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46220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47861-2021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46220</v>
      </c>
      <c r="F82" t="inlineStr">
        <is>
          <t>KRONOBERGS LÄN</t>
        </is>
      </c>
      <c r="G82" t="inlineStr">
        <is>
          <t>ÄLMHULT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9967-2022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44621</v>
      </c>
      <c r="E83" s="1" t="n">
        <v>46220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46220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46220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46220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46220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46220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46220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46220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46220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46220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46220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25812-2022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44733</v>
      </c>
      <c r="E94" s="1" t="n">
        <v>46220</v>
      </c>
      <c r="F94" t="inlineStr">
        <is>
          <t>KRONOBERGS LÄN</t>
        </is>
      </c>
      <c r="G94" t="inlineStr">
        <is>
          <t>ÄLMHULT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52297-2021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46220</v>
      </c>
      <c r="F95" t="inlineStr">
        <is>
          <t>KRONOBERGS LÄN</t>
        </is>
      </c>
      <c r="G95" t="inlineStr">
        <is>
          <t>ÄLMHULT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46220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46220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46220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46220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46220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46220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50715-2021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46220</v>
      </c>
      <c r="F102" t="inlineStr">
        <is>
          <t>KRONOBERGS LÄN</t>
        </is>
      </c>
      <c r="G102" t="inlineStr">
        <is>
          <t>ÄLMHULT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46220</v>
      </c>
      <c r="F103" t="inlineStr">
        <is>
          <t>KRONOBERGS LÄN</t>
        </is>
      </c>
      <c r="G103" t="inlineStr">
        <is>
          <t>ÄLMHULT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56106-2021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46220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18968-2022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44690</v>
      </c>
      <c r="E105" s="1" t="n">
        <v>46220</v>
      </c>
      <c r="F105" t="inlineStr">
        <is>
          <t>KRONOBERGS LÄN</t>
        </is>
      </c>
      <c r="G105" t="inlineStr">
        <is>
          <t>ÄLMHULT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46220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46220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46220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46220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46220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46220</v>
      </c>
      <c r="F111" t="inlineStr">
        <is>
          <t>KRONOBERGS LÄN</t>
        </is>
      </c>
      <c r="G111" t="inlineStr">
        <is>
          <t>ÄLMHULT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46220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13019-2022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44643</v>
      </c>
      <c r="E113" s="1" t="n">
        <v>46220</v>
      </c>
      <c r="F113" t="inlineStr">
        <is>
          <t>KRONOBERGS LÄN</t>
        </is>
      </c>
      <c r="G113" t="inlineStr">
        <is>
          <t>ÄLMHULT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46220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46220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46220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46220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46220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46220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46220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46220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42337-2022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46220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46220</v>
      </c>
      <c r="F123" t="inlineStr">
        <is>
          <t>KRONOBERGS LÄN</t>
        </is>
      </c>
      <c r="G123" t="inlineStr">
        <is>
          <t>ÄLMHULT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56925-2023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46220</v>
      </c>
      <c r="F124" t="inlineStr">
        <is>
          <t>KRONOBERGS LÄN</t>
        </is>
      </c>
      <c r="G124" t="inlineStr">
        <is>
          <t>ÄLMHULT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48937-2023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46220</v>
      </c>
      <c r="F125" t="inlineStr">
        <is>
          <t>KRONOBERGS LÄN</t>
        </is>
      </c>
      <c r="G125" t="inlineStr">
        <is>
          <t>ÄLMHULT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21164-2023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45062</v>
      </c>
      <c r="E126" s="1" t="n">
        <v>46220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7539-2024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46220</v>
      </c>
      <c r="F127" t="inlineStr">
        <is>
          <t>KRONOBERGS LÄN</t>
        </is>
      </c>
      <c r="G127" t="inlineStr">
        <is>
          <t>ÄLMHULT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27756-2023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46220</v>
      </c>
      <c r="F128" t="inlineStr">
        <is>
          <t>KRONOBERGS LÄN</t>
        </is>
      </c>
      <c r="G128" t="inlineStr">
        <is>
          <t>ÄLMHULT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  <c r="X128">
        <f>HYPERLINK("https://klasma.github.io/Logging_0765/knärot/A 27756-2023 karta knärot.png", "A 27756-2023")</f>
        <v/>
      </c>
      <c r="Y128">
        <f>HYPERLINK("https://klasma.github.io/Logging_0765/klagomål/A 27756-2023 FSC-klagomål.docx", "A 27756-2023")</f>
        <v/>
      </c>
      <c r="Z128">
        <f>HYPERLINK("https://klasma.github.io/Logging_0765/klagomålsmail/A 27756-2023 FSC-klagomål mail.docx", "A 27756-2023")</f>
        <v/>
      </c>
      <c r="AA128">
        <f>HYPERLINK("https://klasma.github.io/Logging_0765/tillsyn/A 27756-2023 tillsynsbegäran.docx", "A 27756-2023")</f>
        <v/>
      </c>
      <c r="AB128">
        <f>HYPERLINK("https://klasma.github.io/Logging_0765/tillsynsmail/A 27756-2023 tillsynsbegäran mail.docx", "A 27756-2023")</f>
        <v/>
      </c>
    </row>
    <row r="129" ht="15" customHeight="1">
      <c r="A129" t="inlineStr">
        <is>
          <t>A 24219-2024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46220</v>
      </c>
      <c r="F129" t="inlineStr">
        <is>
          <t>KRONOBERGS LÄN</t>
        </is>
      </c>
      <c r="G129" t="inlineStr">
        <is>
          <t>ÄLMHULT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52757-2024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46220</v>
      </c>
      <c r="F130" t="inlineStr">
        <is>
          <t>KRONOBERGS LÄN</t>
        </is>
      </c>
      <c r="G130" t="inlineStr">
        <is>
          <t>ÄLMHULT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13113-2025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46220</v>
      </c>
      <c r="F131" t="inlineStr">
        <is>
          <t>KRONOBERGS LÄN</t>
        </is>
      </c>
      <c r="G131" t="inlineStr">
        <is>
          <t>ÄLMHULT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46220</v>
      </c>
      <c r="F132" t="inlineStr">
        <is>
          <t>KRONOBERGS LÄN</t>
        </is>
      </c>
      <c r="G132" t="inlineStr">
        <is>
          <t>ÄLMHULT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13281-2025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46220</v>
      </c>
      <c r="F133" t="inlineStr">
        <is>
          <t>KRONOBERGS LÄN</t>
        </is>
      </c>
      <c r="G133" t="inlineStr">
        <is>
          <t>ÄLMHULT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60621-2021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46220</v>
      </c>
      <c r="F134" t="inlineStr">
        <is>
          <t>KRONOBERGS LÄN</t>
        </is>
      </c>
      <c r="G134" t="inlineStr">
        <is>
          <t>ÄLMHULT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45433</v>
      </c>
      <c r="E135" s="1" t="n">
        <v>46220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26516-2024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45469</v>
      </c>
      <c r="E136" s="1" t="n">
        <v>46220</v>
      </c>
      <c r="F136" t="inlineStr">
        <is>
          <t>KRONOBERGS LÄN</t>
        </is>
      </c>
      <c r="G136" t="inlineStr">
        <is>
          <t>ÄLMHULT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41227-2022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44826</v>
      </c>
      <c r="E137" s="1" t="n">
        <v>46220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44962</v>
      </c>
      <c r="E138" s="1" t="n">
        <v>46220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8329-2022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46220</v>
      </c>
      <c r="F139" t="inlineStr">
        <is>
          <t>KRONOBERGS LÄN</t>
        </is>
      </c>
      <c r="G139" t="inlineStr">
        <is>
          <t>ÄLMHULT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37803-2024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45543</v>
      </c>
      <c r="E140" s="1" t="n">
        <v>46220</v>
      </c>
      <c r="F140" t="inlineStr">
        <is>
          <t>KRONOBERGS LÄN</t>
        </is>
      </c>
      <c r="G140" t="inlineStr">
        <is>
          <t>ÄLMHULT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45525-2024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45578</v>
      </c>
      <c r="E141" s="1" t="n">
        <v>46220</v>
      </c>
      <c r="F141" t="inlineStr">
        <is>
          <t>KRONOBERGS LÄN</t>
        </is>
      </c>
      <c r="G141" t="inlineStr">
        <is>
          <t>ÄLMHULT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59509-2023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46220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45554</v>
      </c>
      <c r="E143" s="1" t="n">
        <v>46220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46220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46220</v>
      </c>
      <c r="F145" t="inlineStr">
        <is>
          <t>KRONOBERGS LÄN</t>
        </is>
      </c>
      <c r="G145" t="inlineStr">
        <is>
          <t>ÄLMHULT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24222-2024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45457</v>
      </c>
      <c r="E146" s="1" t="n">
        <v>46220</v>
      </c>
      <c r="F146" t="inlineStr">
        <is>
          <t>KRONOBERGS LÄN</t>
        </is>
      </c>
      <c r="G146" t="inlineStr">
        <is>
          <t>ÄLMHULT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45457</v>
      </c>
      <c r="E147" s="1" t="n">
        <v>46220</v>
      </c>
      <c r="F147" t="inlineStr">
        <is>
          <t>KRONOBERGS LÄN</t>
        </is>
      </c>
      <c r="G147" t="inlineStr">
        <is>
          <t>ÄLMHULT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54734-2021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44473</v>
      </c>
      <c r="E148" s="1" t="n">
        <v>46220</v>
      </c>
      <c r="F148" t="inlineStr">
        <is>
          <t>KRONOBERGS LÄN</t>
        </is>
      </c>
      <c r="G148" t="inlineStr">
        <is>
          <t>ÄLMHULT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19265-2023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46220</v>
      </c>
      <c r="F149" t="inlineStr">
        <is>
          <t>KRONOBERGS LÄN</t>
        </is>
      </c>
      <c r="G149" t="inlineStr">
        <is>
          <t>ÄLMHULT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9353-2024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46220</v>
      </c>
      <c r="F150" t="inlineStr">
        <is>
          <t>KRONOBERGS LÄN</t>
        </is>
      </c>
      <c r="G150" t="inlineStr">
        <is>
          <t>ÄLMHULT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33840-2023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45133</v>
      </c>
      <c r="E151" s="1" t="n">
        <v>46220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13680-2025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46220</v>
      </c>
      <c r="F152" t="inlineStr">
        <is>
          <t>KRONOBERGS LÄN</t>
        </is>
      </c>
      <c r="G152" t="inlineStr">
        <is>
          <t>ÄLMHULT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41492-2023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46220</v>
      </c>
      <c r="F153" t="inlineStr">
        <is>
          <t>KRONOBERGS LÄN</t>
        </is>
      </c>
      <c r="G153" t="inlineStr">
        <is>
          <t>ÄLMHULT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60690-2021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46220</v>
      </c>
      <c r="F154" t="inlineStr">
        <is>
          <t>KRONOBERGS LÄN</t>
        </is>
      </c>
      <c r="G154" t="inlineStr">
        <is>
          <t>ÄLMHULT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26602-2024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46220</v>
      </c>
      <c r="F155" t="inlineStr">
        <is>
          <t>KRONOBERGS LÄN</t>
        </is>
      </c>
      <c r="G155" t="inlineStr">
        <is>
          <t>ÄLMHULT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10216-2025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46220</v>
      </c>
      <c r="F156" t="inlineStr">
        <is>
          <t>KRONOBERGS LÄN</t>
        </is>
      </c>
      <c r="G156" t="inlineStr">
        <is>
          <t>ÄLMHULT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42871-2024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46220</v>
      </c>
      <c r="F157" t="inlineStr">
        <is>
          <t>KRONOBERGS LÄN</t>
        </is>
      </c>
      <c r="G157" t="inlineStr">
        <is>
          <t>ÄLMHULT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51759-2023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46220</v>
      </c>
      <c r="F158" t="inlineStr">
        <is>
          <t>KRONOBERGS LÄN</t>
        </is>
      </c>
      <c r="G158" t="inlineStr">
        <is>
          <t>ÄLMHULT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51766-2023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46220</v>
      </c>
      <c r="F159" t="inlineStr">
        <is>
          <t>KRONOBERGS LÄN</t>
        </is>
      </c>
      <c r="G159" t="inlineStr">
        <is>
          <t>ÄLMHULT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63742-2025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46016</v>
      </c>
      <c r="E160" s="1" t="n">
        <v>46220</v>
      </c>
      <c r="F160" t="inlineStr">
        <is>
          <t>KRONOBERGS LÄN</t>
        </is>
      </c>
      <c r="G160" t="inlineStr">
        <is>
          <t>ÄLMHULT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45309</v>
      </c>
      <c r="E161" s="1" t="n">
        <v>46220</v>
      </c>
      <c r="F161" t="inlineStr">
        <is>
          <t>KRONOBERGS LÄN</t>
        </is>
      </c>
      <c r="G161" t="inlineStr">
        <is>
          <t>ÄLMHULT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53053-2022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44876</v>
      </c>
      <c r="E162" s="1" t="n">
        <v>46220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46220</v>
      </c>
      <c r="F163" t="inlineStr">
        <is>
          <t>KRONOBERGS LÄN</t>
        </is>
      </c>
      <c r="G163" t="inlineStr">
        <is>
          <t>ÄLMHULT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18440-2022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44686</v>
      </c>
      <c r="E164" s="1" t="n">
        <v>46220</v>
      </c>
      <c r="F164" t="inlineStr">
        <is>
          <t>KRONOBERGS LÄN</t>
        </is>
      </c>
      <c r="G164" t="inlineStr">
        <is>
          <t>ÄLMHULT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11800-2023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46220</v>
      </c>
      <c r="F165" t="inlineStr">
        <is>
          <t>KRONOBERGS LÄN</t>
        </is>
      </c>
      <c r="G165" t="inlineStr">
        <is>
          <t>ÄLMHULT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15988-2024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46220</v>
      </c>
      <c r="F166" t="inlineStr">
        <is>
          <t>KRONOBERGS LÄN</t>
        </is>
      </c>
      <c r="G166" t="inlineStr">
        <is>
          <t>ÄLMHULT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19722-2023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45051</v>
      </c>
      <c r="E167" s="1" t="n">
        <v>46220</v>
      </c>
      <c r="F167" t="inlineStr">
        <is>
          <t>KRONOBERGS LÄN</t>
        </is>
      </c>
      <c r="G167" t="inlineStr">
        <is>
          <t>ÄLMHULT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28694-2023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46220</v>
      </c>
      <c r="F168" t="inlineStr">
        <is>
          <t>KRONOBERGS LÄN</t>
        </is>
      </c>
      <c r="G168" t="inlineStr">
        <is>
          <t>ÄLMHULT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59585-2024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46220</v>
      </c>
      <c r="F169" t="inlineStr">
        <is>
          <t>KRONOBERGS LÄN</t>
        </is>
      </c>
      <c r="G169" t="inlineStr">
        <is>
          <t>ÄLMHULT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59631-2024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46220</v>
      </c>
      <c r="F170" t="inlineStr">
        <is>
          <t>KRONOBERGS LÄN</t>
        </is>
      </c>
      <c r="G170" t="inlineStr">
        <is>
          <t>ÄLMHULT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64618-2021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44511</v>
      </c>
      <c r="E171" s="1" t="n">
        <v>46220</v>
      </c>
      <c r="F171" t="inlineStr">
        <is>
          <t>KRONOBERGS LÄN</t>
        </is>
      </c>
      <c r="G171" t="inlineStr">
        <is>
          <t>ÄLMHULT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64624-2021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44511</v>
      </c>
      <c r="E172" s="1" t="n">
        <v>46220</v>
      </c>
      <c r="F172" t="inlineStr">
        <is>
          <t>KRONOBERGS LÄN</t>
        </is>
      </c>
      <c r="G172" t="inlineStr">
        <is>
          <t>ÄLMHULT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43852-2023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46220</v>
      </c>
      <c r="F173" t="inlineStr">
        <is>
          <t>KRONOBERGS LÄN</t>
        </is>
      </c>
      <c r="G173" t="inlineStr">
        <is>
          <t>ÄLMHULT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46220</v>
      </c>
      <c r="F174" t="inlineStr">
        <is>
          <t>KRONOBERGS LÄN</t>
        </is>
      </c>
      <c r="G174" t="inlineStr">
        <is>
          <t>ÄLMHULT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48026-2024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45589</v>
      </c>
      <c r="E175" s="1" t="n">
        <v>46220</v>
      </c>
      <c r="F175" t="inlineStr">
        <is>
          <t>KRONOBERGS LÄN</t>
        </is>
      </c>
      <c r="G175" t="inlineStr">
        <is>
          <t>ÄLMHULT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46220</v>
      </c>
      <c r="F176" t="inlineStr">
        <is>
          <t>KRONOBERGS LÄN</t>
        </is>
      </c>
      <c r="G176" t="inlineStr">
        <is>
          <t>ÄLMHULT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12221-2023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46220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24638-2024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46220</v>
      </c>
      <c r="F178" t="inlineStr">
        <is>
          <t>KRONOBERGS LÄN</t>
        </is>
      </c>
      <c r="G178" t="inlineStr">
        <is>
          <t>ÄLMHULT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45663</v>
      </c>
      <c r="E179" s="1" t="n">
        <v>46220</v>
      </c>
      <c r="F179" t="inlineStr">
        <is>
          <t>KRONOBERGS LÄN</t>
        </is>
      </c>
      <c r="G179" t="inlineStr">
        <is>
          <t>ÄLMHULT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38476-2025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46220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46220</v>
      </c>
      <c r="F181" t="inlineStr">
        <is>
          <t>KRONOBERGS LÄN</t>
        </is>
      </c>
      <c r="G181" t="inlineStr">
        <is>
          <t>ÄLMHULT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46220</v>
      </c>
      <c r="F182" t="inlineStr">
        <is>
          <t>KRONOBERGS LÄN</t>
        </is>
      </c>
      <c r="G182" t="inlineStr">
        <is>
          <t>ÄLMHULT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46220</v>
      </c>
      <c r="F183" t="inlineStr">
        <is>
          <t>KRONOBERGS LÄN</t>
        </is>
      </c>
      <c r="G183" t="inlineStr">
        <is>
          <t>ÄLMHULT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46220</v>
      </c>
      <c r="F184" t="inlineStr">
        <is>
          <t>KRONOBERGS LÄN</t>
        </is>
      </c>
      <c r="G184" t="inlineStr">
        <is>
          <t>ÄLMHULT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44817</v>
      </c>
      <c r="E185" s="1" t="n">
        <v>46220</v>
      </c>
      <c r="F185" t="inlineStr">
        <is>
          <t>KRONOBERGS LÄN</t>
        </is>
      </c>
      <c r="G185" t="inlineStr">
        <is>
          <t>ÄLMHULT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39102-2025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46220</v>
      </c>
      <c r="F186" t="inlineStr">
        <is>
          <t>KRONOBERGS LÄN</t>
        </is>
      </c>
      <c r="G186" t="inlineStr">
        <is>
          <t>ÄLMHULT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57315-2023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46220</v>
      </c>
      <c r="F187" t="inlineStr">
        <is>
          <t>KRONOBERGS LÄN</t>
        </is>
      </c>
      <c r="G187" t="inlineStr">
        <is>
          <t>ÄLMHULT</t>
        </is>
      </c>
      <c r="H187" t="inlineStr">
        <is>
          <t>Kyrkan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40961-2025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46220</v>
      </c>
      <c r="F188" t="inlineStr">
        <is>
          <t>KRONOBERGS LÄN</t>
        </is>
      </c>
      <c r="G188" t="inlineStr">
        <is>
          <t>ÄLMHULT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7882-2024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46220</v>
      </c>
      <c r="F189" t="inlineStr">
        <is>
          <t>KRONOBERGS LÄN</t>
        </is>
      </c>
      <c r="G189" t="inlineStr">
        <is>
          <t>ÄLMHULT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46220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41129-2025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46220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45612</v>
      </c>
      <c r="E192" s="1" t="n">
        <v>46220</v>
      </c>
      <c r="F192" t="inlineStr">
        <is>
          <t>KRONOBERGS LÄN</t>
        </is>
      </c>
      <c r="G192" t="inlineStr">
        <is>
          <t>ÄLMHULT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44853</v>
      </c>
      <c r="E193" s="1" t="n">
        <v>46220</v>
      </c>
      <c r="F193" t="inlineStr">
        <is>
          <t>KRONOBERGS LÄN</t>
        </is>
      </c>
      <c r="G193" t="inlineStr">
        <is>
          <t>ÄLMHULT</t>
        </is>
      </c>
      <c r="I193" t="n">
        <v>9.6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46220</v>
      </c>
      <c r="F194" t="inlineStr">
        <is>
          <t>KRONOBERGS LÄN</t>
        </is>
      </c>
      <c r="G194" t="inlineStr">
        <is>
          <t>ÄLMHULT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65247-2023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45290</v>
      </c>
      <c r="E195" s="1" t="n">
        <v>46220</v>
      </c>
      <c r="F195" t="inlineStr">
        <is>
          <t>KRONOBERGS LÄN</t>
        </is>
      </c>
      <c r="G195" t="inlineStr">
        <is>
          <t>ÄLMHULT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42489-2023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46220</v>
      </c>
      <c r="F196" t="inlineStr">
        <is>
          <t>KRONOBERGS LÄN</t>
        </is>
      </c>
      <c r="G196" t="inlineStr">
        <is>
          <t>ÄLMHULT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46220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15753-2025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46220</v>
      </c>
      <c r="F198" t="inlineStr">
        <is>
          <t>KRONOBERGS LÄN</t>
        </is>
      </c>
      <c r="G198" t="inlineStr">
        <is>
          <t>ÄLMHULT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39125-2024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46220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28301-2025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46220</v>
      </c>
      <c r="F200" t="inlineStr">
        <is>
          <t>KRONOBERGS LÄN</t>
        </is>
      </c>
      <c r="G200" t="inlineStr">
        <is>
          <t>ÄLMHULT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46220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21999-2024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46220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46220</v>
      </c>
      <c r="F203" t="inlineStr">
        <is>
          <t>KRONOBERGS LÄN</t>
        </is>
      </c>
      <c r="G203" t="inlineStr">
        <is>
          <t>ÄLMHULT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46220</v>
      </c>
      <c r="F204" t="inlineStr">
        <is>
          <t>KRONOBERGS LÄN</t>
        </is>
      </c>
      <c r="G204" t="inlineStr">
        <is>
          <t>ÄLMHULT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8949-2023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46220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48800-2022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44859</v>
      </c>
      <c r="E206" s="1" t="n">
        <v>46220</v>
      </c>
      <c r="F206" t="inlineStr">
        <is>
          <t>KRONOBERGS LÄN</t>
        </is>
      </c>
      <c r="G206" t="inlineStr">
        <is>
          <t>ÄLMHULT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46220</v>
      </c>
      <c r="F207" t="inlineStr">
        <is>
          <t>KRONOBERGS LÄN</t>
        </is>
      </c>
      <c r="G207" t="inlineStr">
        <is>
          <t>ÄLMHULT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21470-2024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46220</v>
      </c>
      <c r="F208" t="inlineStr">
        <is>
          <t>KRONOBERGS LÄN</t>
        </is>
      </c>
      <c r="G208" t="inlineStr">
        <is>
          <t>ÄLMHULT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19803-2025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46220</v>
      </c>
      <c r="F209" t="inlineStr">
        <is>
          <t>KRONOBERGS LÄN</t>
        </is>
      </c>
      <c r="G209" t="inlineStr">
        <is>
          <t>ÄLMHULT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46220</v>
      </c>
      <c r="F210" t="inlineStr">
        <is>
          <t>KRONOBERGS LÄN</t>
        </is>
      </c>
      <c r="G210" t="inlineStr">
        <is>
          <t>ÄLMHULT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43522-2025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46220</v>
      </c>
      <c r="F211" t="inlineStr">
        <is>
          <t>KRONOBERGS LÄN</t>
        </is>
      </c>
      <c r="G211" t="inlineStr">
        <is>
          <t>ÄLMHULT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46220</v>
      </c>
      <c r="F212" t="inlineStr">
        <is>
          <t>KRONOBERGS LÄN</t>
        </is>
      </c>
      <c r="G212" t="inlineStr">
        <is>
          <t>ÄLMHULT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44040-2025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46220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14890-2023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46220</v>
      </c>
      <c r="F214" t="inlineStr">
        <is>
          <t>KRONOBERGS LÄN</t>
        </is>
      </c>
      <c r="G214" t="inlineStr">
        <is>
          <t>ÄLMHULT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46220</v>
      </c>
      <c r="F215" t="inlineStr">
        <is>
          <t>KRONOBERGS LÄN</t>
        </is>
      </c>
      <c r="G215" t="inlineStr">
        <is>
          <t>ÄLMHULT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44542-2025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46220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44540-2025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46220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44539-2025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46220</v>
      </c>
      <c r="F218" t="inlineStr">
        <is>
          <t>KRONOBERGS LÄN</t>
        </is>
      </c>
      <c r="G218" t="inlineStr">
        <is>
          <t>ÄLMHULT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44502-2025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45916</v>
      </c>
      <c r="E219" s="1" t="n">
        <v>46220</v>
      </c>
      <c r="F219" t="inlineStr">
        <is>
          <t>KRONOBERGS LÄN</t>
        </is>
      </c>
      <c r="G219" t="inlineStr">
        <is>
          <t>ÄLMHULT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32233-2025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46220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46220</v>
      </c>
      <c r="F221" t="inlineStr">
        <is>
          <t>KRONOBERGS LÄN</t>
        </is>
      </c>
      <c r="G221" t="inlineStr">
        <is>
          <t>ÄLMHULT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46220</v>
      </c>
      <c r="F222" t="inlineStr">
        <is>
          <t>KRONOBERGS LÄN</t>
        </is>
      </c>
      <c r="G222" t="inlineStr">
        <is>
          <t>ÄLMHULT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46220</v>
      </c>
      <c r="F223" t="inlineStr">
        <is>
          <t>KRONOBERGS LÄN</t>
        </is>
      </c>
      <c r="G223" t="inlineStr">
        <is>
          <t>ÄLMHULT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44958</v>
      </c>
      <c r="E224" s="1" t="n">
        <v>46220</v>
      </c>
      <c r="F224" t="inlineStr">
        <is>
          <t>KRONOBERGS LÄN</t>
        </is>
      </c>
      <c r="G224" t="inlineStr">
        <is>
          <t>ÄLMHULT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12718-2022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44641</v>
      </c>
      <c r="E225" s="1" t="n">
        <v>46220</v>
      </c>
      <c r="F225" t="inlineStr">
        <is>
          <t>KRONOBERGS LÄN</t>
        </is>
      </c>
      <c r="G225" t="inlineStr">
        <is>
          <t>ÄLMHULT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33311-2025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46220</v>
      </c>
      <c r="F226" t="inlineStr">
        <is>
          <t>KRONOBERGS LÄN</t>
        </is>
      </c>
      <c r="G226" t="inlineStr">
        <is>
          <t>ÄLMHULT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49292-2022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46220</v>
      </c>
      <c r="F227" t="inlineStr">
        <is>
          <t>KRONOBERGS LÄN</t>
        </is>
      </c>
      <c r="G227" t="inlineStr">
        <is>
          <t>ÄLMHULT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33858-2025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46220</v>
      </c>
      <c r="F228" t="inlineStr">
        <is>
          <t>KRONOBERGS LÄN</t>
        </is>
      </c>
      <c r="G228" t="inlineStr">
        <is>
          <t>ÄLMHULT</t>
        </is>
      </c>
      <c r="I228" t="n">
        <v>14.1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46220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33754-2025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45842</v>
      </c>
      <c r="E230" s="1" t="n">
        <v>46220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21201-2023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46220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46220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17212-2024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45414</v>
      </c>
      <c r="E233" s="1" t="n">
        <v>46220</v>
      </c>
      <c r="F233" t="inlineStr">
        <is>
          <t>KRONOBERGS LÄN</t>
        </is>
      </c>
      <c r="G233" t="inlineStr">
        <is>
          <t>ÄLMHULT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45842</v>
      </c>
      <c r="E234" s="1" t="n">
        <v>46220</v>
      </c>
      <c r="F234" t="inlineStr">
        <is>
          <t>KRONOBERGS LÄN</t>
        </is>
      </c>
      <c r="G234" t="inlineStr">
        <is>
          <t>ÄLMHULT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46220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34384-2025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46220</v>
      </c>
      <c r="F236" t="inlineStr">
        <is>
          <t>KRONOBERGS LÄN</t>
        </is>
      </c>
      <c r="G236" t="inlineStr">
        <is>
          <t>ÄLMHULT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46220</v>
      </c>
      <c r="F237" t="inlineStr">
        <is>
          <t>KRONOBERGS LÄN</t>
        </is>
      </c>
      <c r="G237" t="inlineStr">
        <is>
          <t>ÄLMHULT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11352-2025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46220</v>
      </c>
      <c r="F238" t="inlineStr">
        <is>
          <t>KRONOBERGS LÄN</t>
        </is>
      </c>
      <c r="G238" t="inlineStr">
        <is>
          <t>ÄLMHULT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45460</v>
      </c>
      <c r="E239" s="1" t="n">
        <v>46220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46220</v>
      </c>
      <c r="F240" t="inlineStr">
        <is>
          <t>KRONOBERGS LÄN</t>
        </is>
      </c>
      <c r="G240" t="inlineStr">
        <is>
          <t>ÄLMHULT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47002-2025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46220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45854</v>
      </c>
      <c r="E242" s="1" t="n">
        <v>46220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25711-2023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46220</v>
      </c>
      <c r="F243" t="inlineStr">
        <is>
          <t>KRONOBERGS LÄN</t>
        </is>
      </c>
      <c r="G243" t="inlineStr">
        <is>
          <t>ÄLMHULT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8887-2023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46220</v>
      </c>
      <c r="F244" t="inlineStr">
        <is>
          <t>KRONOBERGS LÄN</t>
        </is>
      </c>
      <c r="G244" t="inlineStr">
        <is>
          <t>ÄLMHULT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28665-2025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46220</v>
      </c>
      <c r="F245" t="inlineStr">
        <is>
          <t>KRONOBERGS LÄN</t>
        </is>
      </c>
      <c r="G245" t="inlineStr">
        <is>
          <t>ÄLMHULT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11787-2023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44994</v>
      </c>
      <c r="E246" s="1" t="n">
        <v>46220</v>
      </c>
      <c r="F246" t="inlineStr">
        <is>
          <t>KRONOBERGS LÄN</t>
        </is>
      </c>
      <c r="G246" t="inlineStr">
        <is>
          <t>ÄLMHULT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11798-2023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44994</v>
      </c>
      <c r="E247" s="1" t="n">
        <v>46220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18385-2023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46220</v>
      </c>
      <c r="F248" t="inlineStr">
        <is>
          <t>KRONOBERGS LÄN</t>
        </is>
      </c>
      <c r="G248" t="inlineStr">
        <is>
          <t>ÄLMHULT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46220</v>
      </c>
      <c r="F249" t="inlineStr">
        <is>
          <t>KRONOBERGS LÄN</t>
        </is>
      </c>
      <c r="G249" t="inlineStr">
        <is>
          <t>ÄLMHULT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18749-2025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45763</v>
      </c>
      <c r="E250" s="1" t="n">
        <v>46220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18750-2025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46220</v>
      </c>
      <c r="F251" t="inlineStr">
        <is>
          <t>KRONOBERGS LÄN</t>
        </is>
      </c>
      <c r="G251" t="inlineStr">
        <is>
          <t>ÄLMHULT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46220</v>
      </c>
      <c r="F252" t="inlineStr">
        <is>
          <t>KRONOBERGS LÄN</t>
        </is>
      </c>
      <c r="G252" t="inlineStr">
        <is>
          <t>ÄLMHULT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46220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27424-2025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46220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46220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47511-2025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46220</v>
      </c>
      <c r="F256" t="inlineStr">
        <is>
          <t>KRONOBERGS LÄN</t>
        </is>
      </c>
      <c r="G256" t="inlineStr">
        <is>
          <t>ÄLMHULT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46220</v>
      </c>
      <c r="F257" t="inlineStr">
        <is>
          <t>KRONOBERGS LÄN</t>
        </is>
      </c>
      <c r="G257" t="inlineStr">
        <is>
          <t>ÄLMHULT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59099-2022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46220</v>
      </c>
      <c r="F258" t="inlineStr">
        <is>
          <t>KRONOBERGS LÄN</t>
        </is>
      </c>
      <c r="G258" t="inlineStr">
        <is>
          <t>ÄLMHULT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11587-2024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46220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46220</v>
      </c>
      <c r="F260" t="inlineStr">
        <is>
          <t>KRONOBERGS LÄN</t>
        </is>
      </c>
      <c r="G260" t="inlineStr">
        <is>
          <t>ÄLMHULT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3113-2026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46220</v>
      </c>
      <c r="F261" t="inlineStr">
        <is>
          <t>KRONOBERGS LÄN</t>
        </is>
      </c>
      <c r="G261" t="inlineStr">
        <is>
          <t>ÄLMHULT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58045-2024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46220</v>
      </c>
      <c r="F262" t="inlineStr">
        <is>
          <t>KRONOBERGS LÄN</t>
        </is>
      </c>
      <c r="G262" t="inlineStr">
        <is>
          <t>ÄLMHULT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45078</v>
      </c>
      <c r="E263" s="1" t="n">
        <v>46220</v>
      </c>
      <c r="F263" t="inlineStr">
        <is>
          <t>KRONOBERGS LÄN</t>
        </is>
      </c>
      <c r="G263" t="inlineStr">
        <is>
          <t>ÄLMHULT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45681</v>
      </c>
      <c r="E264" s="1" t="n">
        <v>46220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45581</v>
      </c>
      <c r="E265" s="1" t="n">
        <v>46220</v>
      </c>
      <c r="F265" t="inlineStr">
        <is>
          <t>KRONOBERGS LÄN</t>
        </is>
      </c>
      <c r="G265" t="inlineStr">
        <is>
          <t>ÄLMHULT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36157-2025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45867</v>
      </c>
      <c r="E266" s="1" t="n">
        <v>46220</v>
      </c>
      <c r="F266" t="inlineStr">
        <is>
          <t>KRONOBERGS LÄN</t>
        </is>
      </c>
      <c r="G266" t="inlineStr">
        <is>
          <t>ÄLMHULT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21990-2023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45068</v>
      </c>
      <c r="E267" s="1" t="n">
        <v>46220</v>
      </c>
      <c r="F267" t="inlineStr">
        <is>
          <t>KRONOBERGS LÄN</t>
        </is>
      </c>
      <c r="G267" t="inlineStr">
        <is>
          <t>ÄLMHULT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11341-2025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46220</v>
      </c>
      <c r="F268" t="inlineStr">
        <is>
          <t>KRONOBERGS LÄN</t>
        </is>
      </c>
      <c r="G268" t="inlineStr">
        <is>
          <t>ÄLMHULT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9372-2025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45715</v>
      </c>
      <c r="E269" s="1" t="n">
        <v>46220</v>
      </c>
      <c r="F269" t="inlineStr">
        <is>
          <t>KRONOBERGS LÄN</t>
        </is>
      </c>
      <c r="G269" t="inlineStr">
        <is>
          <t>ÄLMHULT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62120-2022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44921</v>
      </c>
      <c r="E270" s="1" t="n">
        <v>46220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35248-2023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46220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8255-2024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45352</v>
      </c>
      <c r="E272" s="1" t="n">
        <v>46220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53113-2023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45228</v>
      </c>
      <c r="E273" s="1" t="n">
        <v>46220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52175-2024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46220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60266-2023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45258</v>
      </c>
      <c r="E275" s="1" t="n">
        <v>46220</v>
      </c>
      <c r="F275" t="inlineStr">
        <is>
          <t>KRONOBERGS LÄN</t>
        </is>
      </c>
      <c r="G275" t="inlineStr">
        <is>
          <t>ÄLMHULT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60876-2022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44914</v>
      </c>
      <c r="E276" s="1" t="n">
        <v>46220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50344-2025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45944</v>
      </c>
      <c r="E277" s="1" t="n">
        <v>46220</v>
      </c>
      <c r="F277" t="inlineStr">
        <is>
          <t>KRONOBERGS LÄN</t>
        </is>
      </c>
      <c r="G277" t="inlineStr">
        <is>
          <t>ÄLMHULT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28026-2024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45476</v>
      </c>
      <c r="E278" s="1" t="n">
        <v>46220</v>
      </c>
      <c r="F278" t="inlineStr">
        <is>
          <t>KRONOBERGS LÄN</t>
        </is>
      </c>
      <c r="G278" t="inlineStr">
        <is>
          <t>ÄLMHULT</t>
        </is>
      </c>
      <c r="I278" t="n">
        <v>11.8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36968-2024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45538</v>
      </c>
      <c r="E279" s="1" t="n">
        <v>46220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50481-2025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46220</v>
      </c>
      <c r="F280" t="inlineStr">
        <is>
          <t>KRONOBERGS LÄN</t>
        </is>
      </c>
      <c r="G280" t="inlineStr">
        <is>
          <t>ÄLMHULT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27863-2022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44743</v>
      </c>
      <c r="E281" s="1" t="n">
        <v>46220</v>
      </c>
      <c r="F281" t="inlineStr">
        <is>
          <t>KRONOBERGS LÄN</t>
        </is>
      </c>
      <c r="G281" t="inlineStr">
        <is>
          <t>ÄLMHULT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62241-2021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44503</v>
      </c>
      <c r="E282" s="1" t="n">
        <v>46220</v>
      </c>
      <c r="F282" t="inlineStr">
        <is>
          <t>KRONOBERGS LÄN</t>
        </is>
      </c>
      <c r="G282" t="inlineStr">
        <is>
          <t>ÄLMHULT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64999-2023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45286</v>
      </c>
      <c r="E283" s="1" t="n">
        <v>46220</v>
      </c>
      <c r="F283" t="inlineStr">
        <is>
          <t>KRONOBERGS LÄN</t>
        </is>
      </c>
      <c r="G283" t="inlineStr">
        <is>
          <t>ÄLMHULT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51190-2025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45947</v>
      </c>
      <c r="E284" s="1" t="n">
        <v>46220</v>
      </c>
      <c r="F284" t="inlineStr">
        <is>
          <t>KRONOBERGS LÄN</t>
        </is>
      </c>
      <c r="G284" t="inlineStr">
        <is>
          <t>ÄLMHULT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46220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46220</v>
      </c>
      <c r="F286" t="inlineStr">
        <is>
          <t>KRONOBERGS LÄN</t>
        </is>
      </c>
      <c r="G286" t="inlineStr">
        <is>
          <t>ÄLMHULT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41055-2024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45559</v>
      </c>
      <c r="E287" s="1" t="n">
        <v>46220</v>
      </c>
      <c r="F287" t="inlineStr">
        <is>
          <t>KRONOBERGS LÄN</t>
        </is>
      </c>
      <c r="G287" t="inlineStr">
        <is>
          <t>ÄLMHULT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38812-2024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46220</v>
      </c>
      <c r="F288" t="inlineStr">
        <is>
          <t>KRONOBERGS LÄN</t>
        </is>
      </c>
      <c r="G288" t="inlineStr">
        <is>
          <t>ÄLMHULT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42780-2023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45181</v>
      </c>
      <c r="E289" s="1" t="n">
        <v>46220</v>
      </c>
      <c r="F289" t="inlineStr">
        <is>
          <t>KRONOBERGS LÄN</t>
        </is>
      </c>
      <c r="G289" t="inlineStr">
        <is>
          <t>ÄLMHULT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38838-2025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46220</v>
      </c>
      <c r="F290" t="inlineStr">
        <is>
          <t>KRONOBERGS LÄN</t>
        </is>
      </c>
      <c r="G290" t="inlineStr">
        <is>
          <t>ÄLMHULT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45317</v>
      </c>
      <c r="E291" s="1" t="n">
        <v>46220</v>
      </c>
      <c r="F291" t="inlineStr">
        <is>
          <t>KRONOBERGS LÄN</t>
        </is>
      </c>
      <c r="G291" t="inlineStr">
        <is>
          <t>ÄLMHULT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46220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23832-2023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45078</v>
      </c>
      <c r="E293" s="1" t="n">
        <v>46220</v>
      </c>
      <c r="F293" t="inlineStr">
        <is>
          <t>KRONOBERGS LÄN</t>
        </is>
      </c>
      <c r="G293" t="inlineStr">
        <is>
          <t>ÄLMHULT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23833-2023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45078</v>
      </c>
      <c r="E294" s="1" t="n">
        <v>46220</v>
      </c>
      <c r="F294" t="inlineStr">
        <is>
          <t>KRONOBERGS LÄN</t>
        </is>
      </c>
      <c r="G294" t="inlineStr">
        <is>
          <t>ÄLMHULT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59513-2023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45254</v>
      </c>
      <c r="E295" s="1" t="n">
        <v>46220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52407-2025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45954</v>
      </c>
      <c r="E296" s="1" t="n">
        <v>46220</v>
      </c>
      <c r="F296" t="inlineStr">
        <is>
          <t>KRONOBERGS LÄN</t>
        </is>
      </c>
      <c r="G296" t="inlineStr">
        <is>
          <t>ÄLMHULT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45716</v>
      </c>
      <c r="E297" s="1" t="n">
        <v>46220</v>
      </c>
      <c r="F297" t="inlineStr">
        <is>
          <t>KRONOBERGS LÄN</t>
        </is>
      </c>
      <c r="G297" t="inlineStr">
        <is>
          <t>ÄLMHULT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53039-2025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46220</v>
      </c>
      <c r="F298" t="inlineStr">
        <is>
          <t>KRONOBERGS LÄN</t>
        </is>
      </c>
      <c r="G298" t="inlineStr">
        <is>
          <t>ÄLMHULT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53378-2025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46220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46220</v>
      </c>
      <c r="F300" t="inlineStr">
        <is>
          <t>KRONOBERGS LÄN</t>
        </is>
      </c>
      <c r="G300" t="inlineStr">
        <is>
          <t>ÄLMHULT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54694-2025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46220</v>
      </c>
      <c r="F301" t="inlineStr">
        <is>
          <t>KRONOBERGS LÄN</t>
        </is>
      </c>
      <c r="G301" t="inlineStr">
        <is>
          <t>ÄLMHULT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46220</v>
      </c>
      <c r="F302" t="inlineStr">
        <is>
          <t>KRONOBERGS LÄN</t>
        </is>
      </c>
      <c r="G302" t="inlineStr">
        <is>
          <t>ÄLMHULT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54824-2025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46220</v>
      </c>
      <c r="F303" t="inlineStr">
        <is>
          <t>KRONOBERGS LÄN</t>
        </is>
      </c>
      <c r="G303" t="inlineStr">
        <is>
          <t>ÄLMHULT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54917-2025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46220</v>
      </c>
      <c r="F304" t="inlineStr">
        <is>
          <t>KRONOBERGS LÄN</t>
        </is>
      </c>
      <c r="G304" t="inlineStr">
        <is>
          <t>ÄLMHULT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9760-2025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46220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45716</v>
      </c>
      <c r="E306" s="1" t="n">
        <v>46220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54801-2025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45966</v>
      </c>
      <c r="E307" s="1" t="n">
        <v>46220</v>
      </c>
      <c r="F307" t="inlineStr">
        <is>
          <t>KRONOBERGS LÄN</t>
        </is>
      </c>
      <c r="G307" t="inlineStr">
        <is>
          <t>ÄLMHULT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11427-2024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46220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58490-2023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45251</v>
      </c>
      <c r="E309" s="1" t="n">
        <v>46220</v>
      </c>
      <c r="F309" t="inlineStr">
        <is>
          <t>KRONOBERGS LÄN</t>
        </is>
      </c>
      <c r="G309" t="inlineStr">
        <is>
          <t>ÄLMHULT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55290-2025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45969</v>
      </c>
      <c r="E310" s="1" t="n">
        <v>46220</v>
      </c>
      <c r="F310" t="inlineStr">
        <is>
          <t>KRONOBERGS LÄN</t>
        </is>
      </c>
      <c r="G310" t="inlineStr">
        <is>
          <t>ÄLMHULT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55291-2025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45969</v>
      </c>
      <c r="E311" s="1" t="n">
        <v>46220</v>
      </c>
      <c r="F311" t="inlineStr">
        <is>
          <t>KRONOBERGS LÄN</t>
        </is>
      </c>
      <c r="G311" t="inlineStr">
        <is>
          <t>ÄLMHULT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21272-2024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46220</v>
      </c>
      <c r="F312" t="inlineStr">
        <is>
          <t>KRONOBERGS LÄN</t>
        </is>
      </c>
      <c r="G312" t="inlineStr">
        <is>
          <t>ÄLMHULT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72469-2021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44545</v>
      </c>
      <c r="E313" s="1" t="n">
        <v>46220</v>
      </c>
      <c r="F313" t="inlineStr">
        <is>
          <t>KRONOBERGS LÄN</t>
        </is>
      </c>
      <c r="G313" t="inlineStr">
        <is>
          <t>ÄLMHULT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34662-2023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46220</v>
      </c>
      <c r="F314" t="inlineStr">
        <is>
          <t>KRONOBERGS LÄN</t>
        </is>
      </c>
      <c r="G314" t="inlineStr">
        <is>
          <t>ÄLMHULT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30494-2023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46220</v>
      </c>
      <c r="F315" t="inlineStr">
        <is>
          <t>KRONOBERGS LÄN</t>
        </is>
      </c>
      <c r="G315" t="inlineStr">
        <is>
          <t>ÄLMHULT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7546-2024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46220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54363-2023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45233</v>
      </c>
      <c r="E317" s="1" t="n">
        <v>46220</v>
      </c>
      <c r="F317" t="inlineStr">
        <is>
          <t>KRONOBERGS LÄN</t>
        </is>
      </c>
      <c r="G317" t="inlineStr">
        <is>
          <t>ÄLMHULT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54364-2023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45233</v>
      </c>
      <c r="E318" s="1" t="n">
        <v>46220</v>
      </c>
      <c r="F318" t="inlineStr">
        <is>
          <t>KRONOBERGS LÄN</t>
        </is>
      </c>
      <c r="G318" t="inlineStr">
        <is>
          <t>ÄLMHULT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67257-2021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44523</v>
      </c>
      <c r="E319" s="1" t="n">
        <v>46220</v>
      </c>
      <c r="F319" t="inlineStr">
        <is>
          <t>KRONOBERGS LÄN</t>
        </is>
      </c>
      <c r="G319" t="inlineStr">
        <is>
          <t>ÄLMHULT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49564-2023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45211</v>
      </c>
      <c r="E320" s="1" t="n">
        <v>46220</v>
      </c>
      <c r="F320" t="inlineStr">
        <is>
          <t>KRONOBERGS LÄN</t>
        </is>
      </c>
      <c r="G320" t="inlineStr">
        <is>
          <t>ÄLMHULT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50062-2023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45215</v>
      </c>
      <c r="E321" s="1" t="n">
        <v>46220</v>
      </c>
      <c r="F321" t="inlineStr">
        <is>
          <t>KRONOBERGS LÄN</t>
        </is>
      </c>
      <c r="G321" t="inlineStr">
        <is>
          <t>ÄLMHULT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57197-2024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46220</v>
      </c>
      <c r="F322" t="inlineStr">
        <is>
          <t>KRONOBERGS LÄN</t>
        </is>
      </c>
      <c r="G322" t="inlineStr">
        <is>
          <t>ÄLMHULT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40660-2023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46220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8102-2026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46063</v>
      </c>
      <c r="E324" s="1" t="n">
        <v>46220</v>
      </c>
      <c r="F324" t="inlineStr">
        <is>
          <t>KRONOBERGS LÄN</t>
        </is>
      </c>
      <c r="G324" t="inlineStr">
        <is>
          <t>ÄLMHULT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7726-2026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46220</v>
      </c>
      <c r="F325" t="inlineStr">
        <is>
          <t>KRONOBERGS LÄN</t>
        </is>
      </c>
      <c r="G325" t="inlineStr">
        <is>
          <t>ÄLMHULT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7594-2026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46061</v>
      </c>
      <c r="E326" s="1" t="n">
        <v>46220</v>
      </c>
      <c r="F326" t="inlineStr">
        <is>
          <t>KRONOBERGS LÄN</t>
        </is>
      </c>
      <c r="G326" t="inlineStr">
        <is>
          <t>ÄLMHULT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58883-2025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45986</v>
      </c>
      <c r="E327" s="1" t="n">
        <v>46220</v>
      </c>
      <c r="F327" t="inlineStr">
        <is>
          <t>KRONOBERGS LÄN</t>
        </is>
      </c>
      <c r="G327" t="inlineStr">
        <is>
          <t>ÄLMHULT</t>
        </is>
      </c>
      <c r="H327" t="inlineStr">
        <is>
          <t>Kyrkan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58831-2023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45252</v>
      </c>
      <c r="E328" s="1" t="n">
        <v>46220</v>
      </c>
      <c r="F328" t="inlineStr">
        <is>
          <t>KRONOBERGS LÄN</t>
        </is>
      </c>
      <c r="G328" t="inlineStr">
        <is>
          <t>ÄLMHULT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13606-2023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45006</v>
      </c>
      <c r="E329" s="1" t="n">
        <v>46220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25636-2023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46220</v>
      </c>
      <c r="F330" t="inlineStr">
        <is>
          <t>KRONOBERGS LÄN</t>
        </is>
      </c>
      <c r="G330" t="inlineStr">
        <is>
          <t>ÄLMHULT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52171-2024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46220</v>
      </c>
      <c r="F331" t="inlineStr">
        <is>
          <t>KRONOBERGS LÄN</t>
        </is>
      </c>
      <c r="G331" t="inlineStr">
        <is>
          <t>ÄLMHULT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59803-2025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45992</v>
      </c>
      <c r="E332" s="1" t="n">
        <v>46220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12947-2025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46220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49562-2023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46220</v>
      </c>
      <c r="F334" t="inlineStr">
        <is>
          <t>KRONOBERGS LÄN</t>
        </is>
      </c>
      <c r="G334" t="inlineStr">
        <is>
          <t>ÄLMHULT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59771-2025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45992</v>
      </c>
      <c r="E335" s="1" t="n">
        <v>46220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59780-2025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45992</v>
      </c>
      <c r="E336" s="1" t="n">
        <v>46220</v>
      </c>
      <c r="F336" t="inlineStr">
        <is>
          <t>KRONOBERGS LÄN</t>
        </is>
      </c>
      <c r="G336" t="inlineStr">
        <is>
          <t>ÄLMHULT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59793-2025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46220</v>
      </c>
      <c r="F337" t="inlineStr">
        <is>
          <t>KRONOBERGS LÄN</t>
        </is>
      </c>
      <c r="G337" t="inlineStr">
        <is>
          <t>ÄLMHULT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8566-2026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46220</v>
      </c>
      <c r="F338" t="inlineStr">
        <is>
          <t>KRONOBERGS LÄN</t>
        </is>
      </c>
      <c r="G338" t="inlineStr">
        <is>
          <t>ÄLMHULT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49934-2023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46220</v>
      </c>
      <c r="F339" t="inlineStr">
        <is>
          <t>KRONOBERGS LÄN</t>
        </is>
      </c>
      <c r="G339" t="inlineStr">
        <is>
          <t>ÄLMHULT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60984-2025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46220</v>
      </c>
      <c r="F340" t="inlineStr">
        <is>
          <t>KRONOBERGS LÄN</t>
        </is>
      </c>
      <c r="G340" t="inlineStr">
        <is>
          <t>ÄLMHULT</t>
        </is>
      </c>
      <c r="H340" t="inlineStr">
        <is>
          <t>Kommuner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45376</v>
      </c>
      <c r="E341" s="1" t="n">
        <v>46220</v>
      </c>
      <c r="F341" t="inlineStr">
        <is>
          <t>KRONOBERGS LÄN</t>
        </is>
      </c>
      <c r="G341" t="inlineStr">
        <is>
          <t>ÄLMHULT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33944-2023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45134</v>
      </c>
      <c r="E342" s="1" t="n">
        <v>46220</v>
      </c>
      <c r="F342" t="inlineStr">
        <is>
          <t>KRONOBERGS LÄN</t>
        </is>
      </c>
      <c r="G342" t="inlineStr">
        <is>
          <t>ÄLMHULT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60972-2025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46220</v>
      </c>
      <c r="F343" t="inlineStr">
        <is>
          <t>KRONOBERGS LÄN</t>
        </is>
      </c>
      <c r="G343" t="inlineStr">
        <is>
          <t>ÄLMHULT</t>
        </is>
      </c>
      <c r="H343" t="inlineStr">
        <is>
          <t>Kommuner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61418-2025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46220</v>
      </c>
      <c r="F344" t="inlineStr">
        <is>
          <t>KRONOBERGS LÄN</t>
        </is>
      </c>
      <c r="G344" t="inlineStr">
        <is>
          <t>ÄLMHULT</t>
        </is>
      </c>
      <c r="H344" t="inlineStr">
        <is>
          <t>Kommuner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43876-2021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44434</v>
      </c>
      <c r="E345" s="1" t="n">
        <v>46220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8632-2026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46220</v>
      </c>
      <c r="F346" t="inlineStr">
        <is>
          <t>KRONOBERGS LÄN</t>
        </is>
      </c>
      <c r="G346" t="inlineStr">
        <is>
          <t>ÄLMHULT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33002-2022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44784</v>
      </c>
      <c r="E347" s="1" t="n">
        <v>46220</v>
      </c>
      <c r="F347" t="inlineStr">
        <is>
          <t>KRONOBERGS LÄN</t>
        </is>
      </c>
      <c r="G347" t="inlineStr">
        <is>
          <t>ÄLMHULT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11594-2024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45373</v>
      </c>
      <c r="E348" s="1" t="n">
        <v>46220</v>
      </c>
      <c r="F348" t="inlineStr">
        <is>
          <t>KRONOBERGS LÄN</t>
        </is>
      </c>
      <c r="G348" t="inlineStr">
        <is>
          <t>ÄLMHULT</t>
        </is>
      </c>
      <c r="H348" t="inlineStr">
        <is>
          <t>Sveaskog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11597-2024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45373</v>
      </c>
      <c r="E349" s="1" t="n">
        <v>46220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62038-2025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46005</v>
      </c>
      <c r="E350" s="1" t="n">
        <v>46220</v>
      </c>
      <c r="F350" t="inlineStr">
        <is>
          <t>KRONOBERGS LÄN</t>
        </is>
      </c>
      <c r="G350" t="inlineStr">
        <is>
          <t>ÄLMHULT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24808-2023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46220</v>
      </c>
      <c r="F351" t="inlineStr">
        <is>
          <t>KRONOBERGS LÄN</t>
        </is>
      </c>
      <c r="G351" t="inlineStr">
        <is>
          <t>ÄLMHULT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14280-2023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45010</v>
      </c>
      <c r="E352" s="1" t="n">
        <v>46220</v>
      </c>
      <c r="F352" t="inlineStr">
        <is>
          <t>KRONOBERGS LÄN</t>
        </is>
      </c>
      <c r="G352" t="inlineStr">
        <is>
          <t>ÄLMHULT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27334-2025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45812</v>
      </c>
      <c r="E353" s="1" t="n">
        <v>46220</v>
      </c>
      <c r="F353" t="inlineStr">
        <is>
          <t>KRONOBERGS LÄN</t>
        </is>
      </c>
      <c r="G353" t="inlineStr">
        <is>
          <t>ÄLMHULT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58047-2024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46220</v>
      </c>
      <c r="F354" t="inlineStr">
        <is>
          <t>KRONOBERGS LÄN</t>
        </is>
      </c>
      <c r="G354" t="inlineStr">
        <is>
          <t>ÄLMHULT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8490-2024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46220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46220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35102-2024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45529</v>
      </c>
      <c r="E357" s="1" t="n">
        <v>46220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10282-2026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46220</v>
      </c>
      <c r="F358" t="inlineStr">
        <is>
          <t>KRONOBERGS LÄN</t>
        </is>
      </c>
      <c r="G358" t="inlineStr">
        <is>
          <t>ÄLMHULT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30322-2025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45827</v>
      </c>
      <c r="E359" s="1" t="n">
        <v>46220</v>
      </c>
      <c r="F359" t="inlineStr">
        <is>
          <t>KRONOBERGS LÄN</t>
        </is>
      </c>
      <c r="G359" t="inlineStr">
        <is>
          <t>ÄLMHULT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46220</v>
      </c>
      <c r="F360" t="inlineStr">
        <is>
          <t>KRONOBERGS LÄN</t>
        </is>
      </c>
      <c r="G360" t="inlineStr">
        <is>
          <t>ÄLMHULT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46220</v>
      </c>
      <c r="F361" t="inlineStr">
        <is>
          <t>KRONOBERGS LÄN</t>
        </is>
      </c>
      <c r="G361" t="inlineStr">
        <is>
          <t>ÄLMHULT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14282-2023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45010</v>
      </c>
      <c r="E362" s="1" t="n">
        <v>46220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62812-2023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46220</v>
      </c>
      <c r="F363" t="inlineStr">
        <is>
          <t>KRONOBERGS LÄN</t>
        </is>
      </c>
      <c r="G363" t="inlineStr">
        <is>
          <t>ÄLMHULT</t>
        </is>
      </c>
      <c r="I363" t="n">
        <v>8.4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44855-2021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44438</v>
      </c>
      <c r="E364" s="1" t="n">
        <v>46220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12916-2026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46220</v>
      </c>
      <c r="F365" t="inlineStr">
        <is>
          <t>KRONOBERGS LÄN</t>
        </is>
      </c>
      <c r="G365" t="inlineStr">
        <is>
          <t>ÄLMHULT</t>
        </is>
      </c>
      <c r="I365" t="n">
        <v>29.1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13146-2026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46220</v>
      </c>
      <c r="F366" t="inlineStr">
        <is>
          <t>KRONOBERGS LÄN</t>
        </is>
      </c>
      <c r="G366" t="inlineStr">
        <is>
          <t>ÄLMHULT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24928-2023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45085</v>
      </c>
      <c r="E367" s="1" t="n">
        <v>46220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71802-2021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44543</v>
      </c>
      <c r="E368" s="1" t="n">
        <v>46220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50031-2022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46220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19063-2023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45048</v>
      </c>
      <c r="E370" s="1" t="n">
        <v>46220</v>
      </c>
      <c r="F370" t="inlineStr">
        <is>
          <t>KRONOBERGS LÄN</t>
        </is>
      </c>
      <c r="G370" t="inlineStr">
        <is>
          <t>ÄLMHULT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36000-2024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45533</v>
      </c>
      <c r="E371" s="1" t="n">
        <v>46220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12893-2023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45001</v>
      </c>
      <c r="E372" s="1" t="n">
        <v>46220</v>
      </c>
      <c r="F372" t="inlineStr">
        <is>
          <t>KRONOBERGS LÄN</t>
        </is>
      </c>
      <c r="G372" t="inlineStr">
        <is>
          <t>ÄLMHULT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64773-2023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45282</v>
      </c>
      <c r="E373" s="1" t="n">
        <v>46220</v>
      </c>
      <c r="F373" t="inlineStr">
        <is>
          <t>KRONOBERGS LÄN</t>
        </is>
      </c>
      <c r="G373" t="inlineStr">
        <is>
          <t>ÄLMHULT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15322-2026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46220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37840-2021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44403</v>
      </c>
      <c r="E375" s="1" t="n">
        <v>46220</v>
      </c>
      <c r="F375" t="inlineStr">
        <is>
          <t>KRONOBERGS LÄN</t>
        </is>
      </c>
      <c r="G375" t="inlineStr">
        <is>
          <t>ÄLMHULT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15395-2026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46220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15327-2026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46220</v>
      </c>
      <c r="F377" t="inlineStr">
        <is>
          <t>KRONOBERGS LÄN</t>
        </is>
      </c>
      <c r="G377" t="inlineStr">
        <is>
          <t>ÄLMHULT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15396-2026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46220</v>
      </c>
      <c r="F378" t="inlineStr">
        <is>
          <t>KRONOBERGS LÄN</t>
        </is>
      </c>
      <c r="G378" t="inlineStr">
        <is>
          <t>ÄLMHULT</t>
        </is>
      </c>
      <c r="H378" t="inlineStr">
        <is>
          <t>Sveaskog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15337-2026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46220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10.2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15329-2026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46220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63116-2023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45273</v>
      </c>
      <c r="E381" s="1" t="n">
        <v>46220</v>
      </c>
      <c r="F381" t="inlineStr">
        <is>
          <t>KRONOBERGS LÄN</t>
        </is>
      </c>
      <c r="G381" t="inlineStr">
        <is>
          <t>ÄLMHULT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63118-2023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45273</v>
      </c>
      <c r="E382" s="1" t="n">
        <v>46220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15555-2026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46220</v>
      </c>
      <c r="F383" t="inlineStr">
        <is>
          <t>KRONOBERGS LÄN</t>
        </is>
      </c>
      <c r="G383" t="inlineStr">
        <is>
          <t>ÄLMHULT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15399-2026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46220</v>
      </c>
      <c r="F384" t="inlineStr">
        <is>
          <t>KRONOBERGS LÄN</t>
        </is>
      </c>
      <c r="G384" t="inlineStr">
        <is>
          <t>ÄLMHULT</t>
        </is>
      </c>
      <c r="H384" t="inlineStr">
        <is>
          <t>Sveaskog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15334-2026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46220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15.3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15320-2026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46220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15323-2026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46220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7793-2025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46220</v>
      </c>
      <c r="F388" t="inlineStr">
        <is>
          <t>KRONOBERGS LÄN</t>
        </is>
      </c>
      <c r="G388" t="inlineStr">
        <is>
          <t>ÄLMHULT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15859-2026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46220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16141-2026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46220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53201-2024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45612</v>
      </c>
      <c r="E391" s="1" t="n">
        <v>46220</v>
      </c>
      <c r="F391" t="inlineStr">
        <is>
          <t>KRONOBERGS LÄN</t>
        </is>
      </c>
      <c r="G391" t="inlineStr">
        <is>
          <t>ÄLMHULT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53661-2024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45615</v>
      </c>
      <c r="E392" s="1" t="n">
        <v>46220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58473-2023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45250</v>
      </c>
      <c r="E393" s="1" t="n">
        <v>46220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58474-2023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46220</v>
      </c>
      <c r="F394" t="inlineStr">
        <is>
          <t>KRONOBERGS LÄN</t>
        </is>
      </c>
      <c r="G394" t="inlineStr">
        <is>
          <t>ÄLMHULT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58496-2023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46220</v>
      </c>
      <c r="F395" t="inlineStr">
        <is>
          <t>KRONOBERGS LÄN</t>
        </is>
      </c>
      <c r="G395" t="inlineStr">
        <is>
          <t>ÄLMHULT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38428-2024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45546</v>
      </c>
      <c r="E396" s="1" t="n">
        <v>46220</v>
      </c>
      <c r="F396" t="inlineStr">
        <is>
          <t>KRONOBERGS LÄN</t>
        </is>
      </c>
      <c r="G396" t="inlineStr">
        <is>
          <t>ÄLMHULT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42490-2023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45180</v>
      </c>
      <c r="E397" s="1" t="n">
        <v>46220</v>
      </c>
      <c r="F397" t="inlineStr">
        <is>
          <t>KRONOBERGS LÄN</t>
        </is>
      </c>
      <c r="G397" t="inlineStr">
        <is>
          <t>ÄLMHULT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16137-2026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46220</v>
      </c>
      <c r="F398" t="inlineStr">
        <is>
          <t>KRONOBERGS LÄN</t>
        </is>
      </c>
      <c r="G398" t="inlineStr">
        <is>
          <t>ÄLMHULT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37067-2024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45539</v>
      </c>
      <c r="E399" s="1" t="n">
        <v>46220</v>
      </c>
      <c r="F399" t="inlineStr">
        <is>
          <t>KRONOBERGS LÄN</t>
        </is>
      </c>
      <c r="G399" t="inlineStr">
        <is>
          <t>ÄLMHULT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45311</v>
      </c>
      <c r="E400" s="1" t="n">
        <v>46220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45308</v>
      </c>
      <c r="E401" s="1" t="n">
        <v>46220</v>
      </c>
      <c r="F401" t="inlineStr">
        <is>
          <t>KRONOBERGS LÄN</t>
        </is>
      </c>
      <c r="G401" t="inlineStr">
        <is>
          <t>ÄLMHULT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12851-2024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45384</v>
      </c>
      <c r="E402" s="1" t="n">
        <v>46220</v>
      </c>
      <c r="F402" t="inlineStr">
        <is>
          <t>KRONOBERGS LÄN</t>
        </is>
      </c>
      <c r="G402" t="inlineStr">
        <is>
          <t>ÄLMHULT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11787-2024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45374</v>
      </c>
      <c r="E403" s="1" t="n">
        <v>46220</v>
      </c>
      <c r="F403" t="inlineStr">
        <is>
          <t>KRONOBERGS LÄN</t>
        </is>
      </c>
      <c r="G403" t="inlineStr">
        <is>
          <t>ÄLMHULT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7879-2025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45706</v>
      </c>
      <c r="E404" s="1" t="n">
        <v>46220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49575-2023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46220</v>
      </c>
      <c r="F405" t="inlineStr">
        <is>
          <t>KRONOBERGS LÄN</t>
        </is>
      </c>
      <c r="G405" t="inlineStr">
        <is>
          <t>ÄLMHULT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14425-2023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46220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45314</v>
      </c>
      <c r="E407" s="1" t="n">
        <v>46220</v>
      </c>
      <c r="F407" t="inlineStr">
        <is>
          <t>KRONOBERGS LÄN</t>
        </is>
      </c>
      <c r="G407" t="inlineStr">
        <is>
          <t>ÄLMHULT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7968-2025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45707</v>
      </c>
      <c r="E408" s="1" t="n">
        <v>46220</v>
      </c>
      <c r="F408" t="inlineStr">
        <is>
          <t>KRONOBERGS LÄN</t>
        </is>
      </c>
      <c r="G408" t="inlineStr">
        <is>
          <t>ÄLMHULT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18018-2026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46220</v>
      </c>
      <c r="F409" t="inlineStr">
        <is>
          <t>KRONOBERGS LÄN</t>
        </is>
      </c>
      <c r="G409" t="inlineStr">
        <is>
          <t>ÄLMHULT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1365-2024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46220</v>
      </c>
      <c r="F410" t="inlineStr">
        <is>
          <t>KRONOBERGS LÄN</t>
        </is>
      </c>
      <c r="G410" t="inlineStr">
        <is>
          <t>ÄLMHULT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61970-2024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45653</v>
      </c>
      <c r="E411" s="1" t="n">
        <v>46220</v>
      </c>
      <c r="F411" t="inlineStr">
        <is>
          <t>KRONOBERGS LÄN</t>
        </is>
      </c>
      <c r="G411" t="inlineStr">
        <is>
          <t>ÄLMHULT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61971-2024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46220</v>
      </c>
      <c r="F412" t="inlineStr">
        <is>
          <t>KRONOBERGS LÄN</t>
        </is>
      </c>
      <c r="G412" t="inlineStr">
        <is>
          <t>ÄLMHULT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43827-2023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46220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9881-2025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46220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9883-2025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45716</v>
      </c>
      <c r="E415" s="1" t="n">
        <v>46220</v>
      </c>
      <c r="F415" t="inlineStr">
        <is>
          <t>KRONOBERGS LÄN</t>
        </is>
      </c>
      <c r="G415" t="inlineStr">
        <is>
          <t>ÄLMHULT</t>
        </is>
      </c>
      <c r="H415" t="inlineStr">
        <is>
          <t>Sveaskog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7911-2023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44973</v>
      </c>
      <c r="E416" s="1" t="n">
        <v>46220</v>
      </c>
      <c r="F416" t="inlineStr">
        <is>
          <t>KRONOBERGS LÄN</t>
        </is>
      </c>
      <c r="G416" t="inlineStr">
        <is>
          <t>ÄLMHULT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46220</v>
      </c>
      <c r="F417" t="inlineStr">
        <is>
          <t>KRONOBERGS LÄN</t>
        </is>
      </c>
      <c r="G417" t="inlineStr">
        <is>
          <t>ÄLMHULT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6648-2025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45700</v>
      </c>
      <c r="E418" s="1" t="n">
        <v>46220</v>
      </c>
      <c r="F418" t="inlineStr">
        <is>
          <t>KRONOBERGS LÄN</t>
        </is>
      </c>
      <c r="G418" t="inlineStr">
        <is>
          <t>ÄLMHULT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20964-2023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45061</v>
      </c>
      <c r="E419" s="1" t="n">
        <v>46220</v>
      </c>
      <c r="F419" t="inlineStr">
        <is>
          <t>KRONOBERGS LÄN</t>
        </is>
      </c>
      <c r="G419" t="inlineStr">
        <is>
          <t>ÄLMHULT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18702-2026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46128</v>
      </c>
      <c r="E420" s="1" t="n">
        <v>46220</v>
      </c>
      <c r="F420" t="inlineStr">
        <is>
          <t>KRONOBERGS LÄN</t>
        </is>
      </c>
      <c r="G420" t="inlineStr">
        <is>
          <t>ÄLMHULT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59124-2022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44897</v>
      </c>
      <c r="E421" s="1" t="n">
        <v>46220</v>
      </c>
      <c r="F421" t="inlineStr">
        <is>
          <t>KRONOBERGS LÄN</t>
        </is>
      </c>
      <c r="G421" t="inlineStr">
        <is>
          <t>ÄLMHULT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8434-2023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46220</v>
      </c>
      <c r="F422" t="inlineStr">
        <is>
          <t>KRONOBERGS LÄN</t>
        </is>
      </c>
      <c r="G422" t="inlineStr">
        <is>
          <t>ÄLMHULT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56955-2024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45628</v>
      </c>
      <c r="E423" s="1" t="n">
        <v>46220</v>
      </c>
      <c r="F423" t="inlineStr">
        <is>
          <t>KRONOBERGS LÄN</t>
        </is>
      </c>
      <c r="G423" t="inlineStr">
        <is>
          <t>ÄLMHULT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8260-2024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45352</v>
      </c>
      <c r="E424" s="1" t="n">
        <v>46220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32617-2024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45513</v>
      </c>
      <c r="E425" s="1" t="n">
        <v>46220</v>
      </c>
      <c r="F425" t="inlineStr">
        <is>
          <t>KRONOBERGS LÄN</t>
        </is>
      </c>
      <c r="G425" t="inlineStr">
        <is>
          <t>ÄLMHULT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39360-2023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46220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3377-2025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46220</v>
      </c>
      <c r="F427" t="inlineStr">
        <is>
          <t>KRONOBERGS LÄN</t>
        </is>
      </c>
      <c r="G427" t="inlineStr">
        <is>
          <t>ÄLMHULT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46472-2023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45191</v>
      </c>
      <c r="E428" s="1" t="n">
        <v>46220</v>
      </c>
      <c r="F428" t="inlineStr">
        <is>
          <t>KRONOBERGS LÄN</t>
        </is>
      </c>
      <c r="G428" t="inlineStr">
        <is>
          <t>ÄLMHULT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47537-2022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44853</v>
      </c>
      <c r="E429" s="1" t="n">
        <v>46220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58494-2023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46220</v>
      </c>
      <c r="F430" t="inlineStr">
        <is>
          <t>KRONOBERGS LÄN</t>
        </is>
      </c>
      <c r="G430" t="inlineStr">
        <is>
          <t>ÄLMHULT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32197-2025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45835</v>
      </c>
      <c r="E431" s="1" t="n">
        <v>46220</v>
      </c>
      <c r="F431" t="inlineStr">
        <is>
          <t>KRONOBERGS LÄN</t>
        </is>
      </c>
      <c r="G431" t="inlineStr">
        <is>
          <t>ÄLMHULT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48159-2024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46220</v>
      </c>
      <c r="F432" t="inlineStr">
        <is>
          <t>KRONOBERGS LÄN</t>
        </is>
      </c>
      <c r="G432" t="inlineStr">
        <is>
          <t>ÄLMHULT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46220</v>
      </c>
      <c r="F433" t="inlineStr">
        <is>
          <t>KRONOBERGS LÄN</t>
        </is>
      </c>
      <c r="G433" t="inlineStr">
        <is>
          <t>ÄLMHULT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48687-2022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44855</v>
      </c>
      <c r="E434" s="1" t="n">
        <v>46220</v>
      </c>
      <c r="F434" t="inlineStr">
        <is>
          <t>KRONOBERGS LÄN</t>
        </is>
      </c>
      <c r="G434" t="inlineStr">
        <is>
          <t>ÄLMHULT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2241-2023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44942</v>
      </c>
      <c r="E435" s="1" t="n">
        <v>46220</v>
      </c>
      <c r="F435" t="inlineStr">
        <is>
          <t>KRONOBERGS LÄN</t>
        </is>
      </c>
      <c r="G435" t="inlineStr">
        <is>
          <t>ÄLMHULT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3577-2025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46220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25311-2024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46220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17161-2024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46220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30930-2023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45113</v>
      </c>
      <c r="E439" s="1" t="n">
        <v>46220</v>
      </c>
      <c r="F439" t="inlineStr">
        <is>
          <t>KRONOBERGS LÄN</t>
        </is>
      </c>
      <c r="G439" t="inlineStr">
        <is>
          <t>ÄLMHULT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39573-2023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46220</v>
      </c>
      <c r="F440" t="inlineStr">
        <is>
          <t>KRONOBERGS LÄN</t>
        </is>
      </c>
      <c r="G440" t="inlineStr">
        <is>
          <t>ÄLMHULT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28035-2025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45817</v>
      </c>
      <c r="E441" s="1" t="n">
        <v>46220</v>
      </c>
      <c r="F441" t="inlineStr">
        <is>
          <t>KRONOBERGS LÄN</t>
        </is>
      </c>
      <c r="G441" t="inlineStr">
        <is>
          <t>ÄLMHULT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18251-2024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45421</v>
      </c>
      <c r="E442" s="1" t="n">
        <v>46220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40909-2024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46220</v>
      </c>
      <c r="F443" t="inlineStr">
        <is>
          <t>KRONOBERGS LÄN</t>
        </is>
      </c>
      <c r="G443" t="inlineStr">
        <is>
          <t>ÄLMHULT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10743-2025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46220</v>
      </c>
      <c r="F444" t="inlineStr">
        <is>
          <t>KRONOBERGS LÄN</t>
        </is>
      </c>
      <c r="G444" t="inlineStr">
        <is>
          <t>ÄLMHULT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25707-2023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46220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45328</v>
      </c>
      <c r="E446" s="1" t="n">
        <v>46220</v>
      </c>
      <c r="F446" t="inlineStr">
        <is>
          <t>KRONOBERGS LÄN</t>
        </is>
      </c>
      <c r="G446" t="inlineStr">
        <is>
          <t>ÄLMHULT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43140-2024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45567</v>
      </c>
      <c r="E447" s="1" t="n">
        <v>46220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47486-2025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46220</v>
      </c>
      <c r="F448" t="inlineStr">
        <is>
          <t>KRONOBERGS LÄN</t>
        </is>
      </c>
      <c r="G448" t="inlineStr">
        <is>
          <t>ÄLMHULT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57501-2024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46220</v>
      </c>
      <c r="F449" t="inlineStr">
        <is>
          <t>KRONOBERGS LÄN</t>
        </is>
      </c>
      <c r="G449" t="inlineStr">
        <is>
          <t>ÄLMHULT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62429-2023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45268</v>
      </c>
      <c r="E450" s="1" t="n">
        <v>46220</v>
      </c>
      <c r="F450" t="inlineStr">
        <is>
          <t>KRONOBERGS LÄN</t>
        </is>
      </c>
      <c r="G450" t="inlineStr">
        <is>
          <t>ÄLMHULT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44930</v>
      </c>
      <c r="E451" s="1" t="n">
        <v>46220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12877-2025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45733</v>
      </c>
      <c r="E452" s="1" t="n">
        <v>46220</v>
      </c>
      <c r="F452" t="inlineStr">
        <is>
          <t>KRONOBERGS LÄN</t>
        </is>
      </c>
      <c r="G452" t="inlineStr">
        <is>
          <t>ÄLMHULT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55629-2021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44476</v>
      </c>
      <c r="E453" s="1" t="n">
        <v>46220</v>
      </c>
      <c r="F453" t="inlineStr">
        <is>
          <t>KRONOBERGS LÄN</t>
        </is>
      </c>
      <c r="G453" t="inlineStr">
        <is>
          <t>ÄLMHULT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45698</v>
      </c>
      <c r="E454" s="1" t="n">
        <v>46220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36545-2024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46220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42014-2023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45177</v>
      </c>
      <c r="E456" s="1" t="n">
        <v>46220</v>
      </c>
      <c r="F456" t="inlineStr">
        <is>
          <t>KRONOBERGS LÄN</t>
        </is>
      </c>
      <c r="G456" t="inlineStr">
        <is>
          <t>ÄLMHULT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35478-2024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46220</v>
      </c>
      <c r="F457" t="inlineStr">
        <is>
          <t>KRONOBERGS LÄN</t>
        </is>
      </c>
      <c r="G457" t="inlineStr">
        <is>
          <t>ÄLMHULT</t>
        </is>
      </c>
      <c r="H457" t="inlineStr">
        <is>
          <t>Kyrkan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38457-2025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45883</v>
      </c>
      <c r="E458" s="1" t="n">
        <v>46220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11014-2023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44986</v>
      </c>
      <c r="E459" s="1" t="n">
        <v>46220</v>
      </c>
      <c r="F459" t="inlineStr">
        <is>
          <t>KRONOBERGS LÄN</t>
        </is>
      </c>
      <c r="G459" t="inlineStr">
        <is>
          <t>ÄLMHULT</t>
        </is>
      </c>
      <c r="H459" t="inlineStr">
        <is>
          <t>Kyrkan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43429-2025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45911</v>
      </c>
      <c r="E460" s="1" t="n">
        <v>46220</v>
      </c>
      <c r="F460" t="inlineStr">
        <is>
          <t>KRONOBERGS LÄN</t>
        </is>
      </c>
      <c r="G460" t="inlineStr">
        <is>
          <t>ÄLMHULT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41485-2023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45175</v>
      </c>
      <c r="E461" s="1" t="n">
        <v>46220</v>
      </c>
      <c r="F461" t="inlineStr">
        <is>
          <t>KRONOBERGS LÄN</t>
        </is>
      </c>
      <c r="G461" t="inlineStr">
        <is>
          <t>ÄLMHULT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38730-2025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45887</v>
      </c>
      <c r="E462" s="1" t="n">
        <v>46220</v>
      </c>
      <c r="F462" t="inlineStr">
        <is>
          <t>KRONOBERGS LÄN</t>
        </is>
      </c>
      <c r="G462" t="inlineStr">
        <is>
          <t>ÄLMHULT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45677</v>
      </c>
      <c r="E463" s="1" t="n">
        <v>46220</v>
      </c>
      <c r="F463" t="inlineStr">
        <is>
          <t>KRONOBERGS LÄN</t>
        </is>
      </c>
      <c r="G463" t="inlineStr">
        <is>
          <t>ÄLMHULT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25319-2024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45462</v>
      </c>
      <c r="E464" s="1" t="n">
        <v>46220</v>
      </c>
      <c r="F464" t="inlineStr">
        <is>
          <t>KRONOBERGS LÄN</t>
        </is>
      </c>
      <c r="G464" t="inlineStr">
        <is>
          <t>ÄLMHULT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35627-2024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46220</v>
      </c>
      <c r="F465" t="inlineStr">
        <is>
          <t>KRONOBERGS LÄN</t>
        </is>
      </c>
      <c r="G465" t="inlineStr">
        <is>
          <t>ÄLMHULT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24333-2023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45081</v>
      </c>
      <c r="E466" s="1" t="n">
        <v>46220</v>
      </c>
      <c r="F466" t="inlineStr">
        <is>
          <t>KRONOBERGS LÄN</t>
        </is>
      </c>
      <c r="G466" t="inlineStr">
        <is>
          <t>ÄLMHULT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49327-2025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46220</v>
      </c>
      <c r="F467" t="inlineStr">
        <is>
          <t>KRONOBERGS LÄN</t>
        </is>
      </c>
      <c r="G467" t="inlineStr">
        <is>
          <t>ÄLMHULT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39380-2023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46220</v>
      </c>
      <c r="F468" t="inlineStr">
        <is>
          <t>KRONOBERGS LÄN</t>
        </is>
      </c>
      <c r="G468" t="inlineStr">
        <is>
          <t>ÄLMHULT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49442-2024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45595</v>
      </c>
      <c r="E469" s="1" t="n">
        <v>46220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46220</v>
      </c>
      <c r="F470" t="inlineStr">
        <is>
          <t>KRONOBERGS LÄN</t>
        </is>
      </c>
      <c r="G470" t="inlineStr">
        <is>
          <t>ÄLMHULT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13801-2024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45391</v>
      </c>
      <c r="E471" s="1" t="n">
        <v>46220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11585-2024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45373</v>
      </c>
      <c r="E472" s="1" t="n">
        <v>46220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11591-2024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45373</v>
      </c>
      <c r="E473" s="1" t="n">
        <v>46220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37015-2023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46220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42383-2024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45564</v>
      </c>
      <c r="E475" s="1" t="n">
        <v>46220</v>
      </c>
      <c r="F475" t="inlineStr">
        <is>
          <t>KRONOBERGS LÄN</t>
        </is>
      </c>
      <c r="G475" t="inlineStr">
        <is>
          <t>ÄLMHULT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20617-2026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46220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14283-2023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45010</v>
      </c>
      <c r="E477" s="1" t="n">
        <v>46220</v>
      </c>
      <c r="F477" t="inlineStr">
        <is>
          <t>KRONOBERGS LÄN</t>
        </is>
      </c>
      <c r="G477" t="inlineStr">
        <is>
          <t>ÄLMHULT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30963-2023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45113</v>
      </c>
      <c r="E478" s="1" t="n">
        <v>46220</v>
      </c>
      <c r="F478" t="inlineStr">
        <is>
          <t>KRONOBERGS LÄN</t>
        </is>
      </c>
      <c r="G478" t="inlineStr">
        <is>
          <t>ÄLMHULT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49903-2023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45214</v>
      </c>
      <c r="E479" s="1" t="n">
        <v>46220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50541-2023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45217</v>
      </c>
      <c r="E480" s="1" t="n">
        <v>46220</v>
      </c>
      <c r="F480" t="inlineStr">
        <is>
          <t>KRONOBERGS LÄN</t>
        </is>
      </c>
      <c r="G480" t="inlineStr">
        <is>
          <t>ÄLMHULT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37297-2023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46220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2252-2023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46220</v>
      </c>
      <c r="F482" t="inlineStr">
        <is>
          <t>KRONOBERGS LÄN</t>
        </is>
      </c>
      <c r="G482" t="inlineStr">
        <is>
          <t>ÄLMHULT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37151-2024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45539</v>
      </c>
      <c r="E483" s="1" t="n">
        <v>46220</v>
      </c>
      <c r="F483" t="inlineStr">
        <is>
          <t>KRONOBERGS LÄN</t>
        </is>
      </c>
      <c r="G483" t="inlineStr">
        <is>
          <t>ÄLMHULT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8495-2024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45355</v>
      </c>
      <c r="E484" s="1" t="n">
        <v>46220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54500-2022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46220</v>
      </c>
      <c r="F485" t="inlineStr">
        <is>
          <t>KRONOBERGS LÄN</t>
        </is>
      </c>
      <c r="G485" t="inlineStr">
        <is>
          <t>ÄLMHULT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41566-2023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46220</v>
      </c>
      <c r="F486" t="inlineStr">
        <is>
          <t>KRONOBERGS LÄN</t>
        </is>
      </c>
      <c r="G486" t="inlineStr">
        <is>
          <t>ÄLMHULT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41577-2023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45175</v>
      </c>
      <c r="E487" s="1" t="n">
        <v>46220</v>
      </c>
      <c r="F487" t="inlineStr">
        <is>
          <t>KRONOBERGS LÄN</t>
        </is>
      </c>
      <c r="G487" t="inlineStr">
        <is>
          <t>ÄLMHULT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23377-2023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45076</v>
      </c>
      <c r="E488" s="1" t="n">
        <v>46220</v>
      </c>
      <c r="F488" t="inlineStr">
        <is>
          <t>KRONOBERGS LÄN</t>
        </is>
      </c>
      <c r="G488" t="inlineStr">
        <is>
          <t>ÄLMHULT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23380-2023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45076</v>
      </c>
      <c r="E489" s="1" t="n">
        <v>46220</v>
      </c>
      <c r="F489" t="inlineStr">
        <is>
          <t>KRONOBERGS LÄN</t>
        </is>
      </c>
      <c r="G489" t="inlineStr">
        <is>
          <t>ÄLMHULT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61968-2024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45653</v>
      </c>
      <c r="E490" s="1" t="n">
        <v>46220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68212-2021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46220</v>
      </c>
      <c r="F491" t="inlineStr">
        <is>
          <t>KRONOBERGS LÄN</t>
        </is>
      </c>
      <c r="G491" t="inlineStr">
        <is>
          <t>ÄLMHULT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26790-2026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46220</v>
      </c>
      <c r="F492" t="inlineStr">
        <is>
          <t>KRONOBERGS LÄN</t>
        </is>
      </c>
      <c r="G492" t="inlineStr">
        <is>
          <t>ÄLMHULT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53203-2024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45612</v>
      </c>
      <c r="E493" s="1" t="n">
        <v>46220</v>
      </c>
      <c r="F493" t="inlineStr">
        <is>
          <t>KRONOBERGS LÄN</t>
        </is>
      </c>
      <c r="G493" t="inlineStr">
        <is>
          <t>ÄLMHULT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46220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56660-2024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45625</v>
      </c>
      <c r="E495" s="1" t="n">
        <v>46220</v>
      </c>
      <c r="F495" t="inlineStr">
        <is>
          <t>KRONOBERGS LÄN</t>
        </is>
      </c>
      <c r="G495" t="inlineStr">
        <is>
          <t>ÄLMHULT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38823-2022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44816</v>
      </c>
      <c r="E496" s="1" t="n">
        <v>46220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51764-2023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45222</v>
      </c>
      <c r="E497" s="1" t="n">
        <v>46220</v>
      </c>
      <c r="F497" t="inlineStr">
        <is>
          <t>KRONOBERGS LÄN</t>
        </is>
      </c>
      <c r="G497" t="inlineStr">
        <is>
          <t>ÄLMHULT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49578-2023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45211</v>
      </c>
      <c r="E498" s="1" t="n">
        <v>46220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20377-2024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46220</v>
      </c>
      <c r="F499" t="inlineStr">
        <is>
          <t>KRONOBERGS LÄN</t>
        </is>
      </c>
      <c r="G499" t="inlineStr">
        <is>
          <t>ÄLMHULT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20380-2024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46220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20382-2024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45435</v>
      </c>
      <c r="E501" s="1" t="n">
        <v>46220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60487-2022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44911</v>
      </c>
      <c r="E502" s="1" t="n">
        <v>46220</v>
      </c>
      <c r="F502" t="inlineStr">
        <is>
          <t>KRONOBERGS LÄN</t>
        </is>
      </c>
      <c r="G502" t="inlineStr">
        <is>
          <t>ÄLMHULT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15770-2025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45748</v>
      </c>
      <c r="E503" s="1" t="n">
        <v>46220</v>
      </c>
      <c r="F503" t="inlineStr">
        <is>
          <t>KRONOBERGS LÄN</t>
        </is>
      </c>
      <c r="G503" t="inlineStr">
        <is>
          <t>ÄLMHULT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21384-2026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46220</v>
      </c>
      <c r="F504" t="inlineStr">
        <is>
          <t>KRONOBERGS LÄN</t>
        </is>
      </c>
      <c r="G504" t="inlineStr">
        <is>
          <t>ÄLMHULT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12339-2024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45378</v>
      </c>
      <c r="E505" s="1" t="n">
        <v>46220</v>
      </c>
      <c r="F505" t="inlineStr">
        <is>
          <t>KRONOBERGS LÄN</t>
        </is>
      </c>
      <c r="G505" t="inlineStr">
        <is>
          <t>ÄLMHULT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34794-2023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45141</v>
      </c>
      <c r="E506" s="1" t="n">
        <v>46220</v>
      </c>
      <c r="F506" t="inlineStr">
        <is>
          <t>KRONOBERGS LÄN</t>
        </is>
      </c>
      <c r="G506" t="inlineStr">
        <is>
          <t>ÄLMHULT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11188-2023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46220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11222-2023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46220</v>
      </c>
      <c r="F508" t="inlineStr">
        <is>
          <t>KRONOBERGS LÄN</t>
        </is>
      </c>
      <c r="G508" t="inlineStr">
        <is>
          <t>ÄLMHULT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47425-2023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45202</v>
      </c>
      <c r="E509" s="1" t="n">
        <v>46220</v>
      </c>
      <c r="F509" t="inlineStr">
        <is>
          <t>KRONOBERGS LÄN</t>
        </is>
      </c>
      <c r="G509" t="inlineStr">
        <is>
          <t>ÄLMHULT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47897-2024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45588</v>
      </c>
      <c r="E510" s="1" t="n">
        <v>46220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57574-2023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46220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50183-2022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44865</v>
      </c>
      <c r="E512" s="1" t="n">
        <v>46220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20120-2022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44698</v>
      </c>
      <c r="E513" s="1" t="n">
        <v>46220</v>
      </c>
      <c r="F513" t="inlineStr">
        <is>
          <t>KRONOBERGS LÄN</t>
        </is>
      </c>
      <c r="G513" t="inlineStr">
        <is>
          <t>ÄLMHULT</t>
        </is>
      </c>
      <c r="I513" t="n">
        <v>11.9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44672-2023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45189</v>
      </c>
      <c r="E514" s="1" t="n">
        <v>46220</v>
      </c>
      <c r="F514" t="inlineStr">
        <is>
          <t>KRONOBERGS LÄN</t>
        </is>
      </c>
      <c r="G514" t="inlineStr">
        <is>
          <t>ÄLMHULT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20747-2026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46220</v>
      </c>
      <c r="F515" t="inlineStr">
        <is>
          <t>KRONOBERGS LÄN</t>
        </is>
      </c>
      <c r="G515" t="inlineStr">
        <is>
          <t>ÄLMHULT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22537-2026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46220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22530-2026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46220</v>
      </c>
      <c r="F517" t="inlineStr">
        <is>
          <t>KRONOBERGS LÄN</t>
        </is>
      </c>
      <c r="G517" t="inlineStr">
        <is>
          <t>ÄLMHULT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8265-2024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46220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18575-2022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44687</v>
      </c>
      <c r="E519" s="1" t="n">
        <v>46220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25918-2024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45467</v>
      </c>
      <c r="E520" s="1" t="n">
        <v>46220</v>
      </c>
      <c r="F520" t="inlineStr">
        <is>
          <t>KRONOBERGS LÄN</t>
        </is>
      </c>
      <c r="G520" t="inlineStr">
        <is>
          <t>ÄLMHULT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49565-2023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46220</v>
      </c>
      <c r="F521" t="inlineStr">
        <is>
          <t>KRONOBERGS LÄN</t>
        </is>
      </c>
      <c r="G521" t="inlineStr">
        <is>
          <t>ÄLMHULT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43903-2023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46220</v>
      </c>
      <c r="F522" t="inlineStr">
        <is>
          <t>KRONOBERGS LÄN</t>
        </is>
      </c>
      <c r="G522" t="inlineStr">
        <is>
          <t>ÄLMHULT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23104-2024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45450</v>
      </c>
      <c r="E523" s="1" t="n">
        <v>46220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59265-2023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46220</v>
      </c>
      <c r="F524" t="inlineStr">
        <is>
          <t>KRONOBERGS LÄN</t>
        </is>
      </c>
      <c r="G524" t="inlineStr">
        <is>
          <t>ÄLMHULT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22335-2026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46154</v>
      </c>
      <c r="E525" s="1" t="n">
        <v>46220</v>
      </c>
      <c r="F525" t="inlineStr">
        <is>
          <t>KRONOBERGS LÄN</t>
        </is>
      </c>
      <c r="G525" t="inlineStr">
        <is>
          <t>ÄLMHULT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22434-2026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46154</v>
      </c>
      <c r="E526" s="1" t="n">
        <v>46220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19768-2023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45051</v>
      </c>
      <c r="E527" s="1" t="n">
        <v>46220</v>
      </c>
      <c r="F527" t="inlineStr">
        <is>
          <t>KRONOBERGS LÄN</t>
        </is>
      </c>
      <c r="G527" t="inlineStr">
        <is>
          <t>ÄLMHULT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50073-2023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46220</v>
      </c>
      <c r="F528" t="inlineStr">
        <is>
          <t>KRONOBERGS LÄN</t>
        </is>
      </c>
      <c r="G528" t="inlineStr">
        <is>
          <t>ÄLMHULT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28693-2026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46220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28686-2026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46220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24029-2023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45078</v>
      </c>
      <c r="E531" s="1" t="n">
        <v>46220</v>
      </c>
      <c r="F531" t="inlineStr">
        <is>
          <t>KRONOBERGS LÄN</t>
        </is>
      </c>
      <c r="G531" t="inlineStr">
        <is>
          <t>ÄLMHULT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46220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28707-2026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46220</v>
      </c>
      <c r="F533" t="inlineStr">
        <is>
          <t>KRONOBERGS LÄN</t>
        </is>
      </c>
      <c r="G533" t="inlineStr">
        <is>
          <t>ÄLMHULT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44445-2024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46220</v>
      </c>
      <c r="F534" t="inlineStr">
        <is>
          <t>KRONOBERGS LÄN</t>
        </is>
      </c>
      <c r="G534" t="inlineStr">
        <is>
          <t>ÄLMHULT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11195-2023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46220</v>
      </c>
      <c r="F535" t="inlineStr">
        <is>
          <t>KRONOBERGS LÄN</t>
        </is>
      </c>
      <c r="G535" t="inlineStr">
        <is>
          <t>ÄLMHULT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8682-2026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46220</v>
      </c>
      <c r="F536" t="inlineStr">
        <is>
          <t>KRONOBERGS LÄN</t>
        </is>
      </c>
      <c r="G536" t="inlineStr">
        <is>
          <t>ÄLMHULT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28177-2025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46220</v>
      </c>
      <c r="F537" t="inlineStr">
        <is>
          <t>KRONOBERGS LÄN</t>
        </is>
      </c>
      <c r="G537" t="inlineStr">
        <is>
          <t>ÄLMHULT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56853-2023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46220</v>
      </c>
      <c r="F538" t="inlineStr">
        <is>
          <t>KRONOBERGS LÄN</t>
        </is>
      </c>
      <c r="G538" t="inlineStr">
        <is>
          <t>ÄLMHULT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45687</v>
      </c>
      <c r="E539" s="1" t="n">
        <v>46220</v>
      </c>
      <c r="F539" t="inlineStr">
        <is>
          <t>KRONOBERGS LÄN</t>
        </is>
      </c>
      <c r="G539" t="inlineStr">
        <is>
          <t>ÄLMHULT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10272-2026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46076</v>
      </c>
      <c r="E540" s="1" t="n">
        <v>46220</v>
      </c>
      <c r="F540" t="inlineStr">
        <is>
          <t>KRONOBERGS LÄN</t>
        </is>
      </c>
      <c r="G540" t="inlineStr">
        <is>
          <t>ÄLMHULT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28614-2026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46220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48282-2022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44858</v>
      </c>
      <c r="E542" s="1" t="n">
        <v>46220</v>
      </c>
      <c r="F542" t="inlineStr">
        <is>
          <t>KRONOBERGS LÄN</t>
        </is>
      </c>
      <c r="G542" t="inlineStr">
        <is>
          <t>ÄLMHULT</t>
        </is>
      </c>
      <c r="I542" t="n">
        <v>14.2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37064-2024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45539</v>
      </c>
      <c r="E543" s="1" t="n">
        <v>46220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52332-2024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46220</v>
      </c>
      <c r="F544" t="inlineStr">
        <is>
          <t>KRONOBERGS LÄN</t>
        </is>
      </c>
      <c r="G544" t="inlineStr">
        <is>
          <t>ÄLMHULT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69444-2021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44531</v>
      </c>
      <c r="E545" s="1" t="n">
        <v>46220</v>
      </c>
      <c r="F545" t="inlineStr">
        <is>
          <t>KRONOBERGS LÄN</t>
        </is>
      </c>
      <c r="G545" t="inlineStr">
        <is>
          <t>ÄLMHULT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46220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19295-2023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45049</v>
      </c>
      <c r="E547" s="1" t="n">
        <v>46220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3444-2025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45679</v>
      </c>
      <c r="E548" s="1" t="n">
        <v>46220</v>
      </c>
      <c r="F548" t="inlineStr">
        <is>
          <t>KRONOBERGS LÄN</t>
        </is>
      </c>
      <c r="G548" t="inlineStr">
        <is>
          <t>ÄLMHULT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48559-2022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46220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69454-2021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46220</v>
      </c>
      <c r="F550" t="inlineStr">
        <is>
          <t>KRONOBERGS LÄN</t>
        </is>
      </c>
      <c r="G550" t="inlineStr">
        <is>
          <t>ÄLMHULT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29636-2026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46220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29773-2026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46220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46220</v>
      </c>
      <c r="F553" t="inlineStr">
        <is>
          <t>KRONOBERGS LÄN</t>
        </is>
      </c>
      <c r="G553" t="inlineStr">
        <is>
          <t>ÄLMHULT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29776-2026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46220</v>
      </c>
      <c r="F554" t="inlineStr">
        <is>
          <t>KRONOBERGS LÄN</t>
        </is>
      </c>
      <c r="G554" t="inlineStr">
        <is>
          <t>ÄLMHULT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22415-2024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45446</v>
      </c>
      <c r="E555" s="1" t="n">
        <v>46220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46220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46220</v>
      </c>
      <c r="F557" t="inlineStr">
        <is>
          <t>KRONOBERGS LÄN</t>
        </is>
      </c>
      <c r="G557" t="inlineStr">
        <is>
          <t>ÄLMHULT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29642-2026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46220</v>
      </c>
      <c r="F558" t="inlineStr">
        <is>
          <t>KRONOBERGS LÄN</t>
        </is>
      </c>
      <c r="G558" t="inlineStr">
        <is>
          <t>ÄLMHULT</t>
        </is>
      </c>
      <c r="I558" t="n">
        <v>8.6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3810-2022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44587</v>
      </c>
      <c r="E559" s="1" t="n">
        <v>46220</v>
      </c>
      <c r="F559" t="inlineStr">
        <is>
          <t>KRONOBERGS LÄN</t>
        </is>
      </c>
      <c r="G559" t="inlineStr">
        <is>
          <t>ÄLMHULT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19538-2025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46220</v>
      </c>
      <c r="F560" t="inlineStr">
        <is>
          <t>KRONOBERGS LÄN</t>
        </is>
      </c>
      <c r="G560" t="inlineStr">
        <is>
          <t>ÄLMHULT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3034-2022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44582</v>
      </c>
      <c r="E561" s="1" t="n">
        <v>46220</v>
      </c>
      <c r="F561" t="inlineStr">
        <is>
          <t>KRONOBERGS LÄN</t>
        </is>
      </c>
      <c r="G561" t="inlineStr">
        <is>
          <t>ÄLMHULT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56938-2021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44482</v>
      </c>
      <c r="E562" s="1" t="n">
        <v>46220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17927-2025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45759</v>
      </c>
      <c r="E563" s="1" t="n">
        <v>46220</v>
      </c>
      <c r="F563" t="inlineStr">
        <is>
          <t>KRONOBERGS LÄN</t>
        </is>
      </c>
      <c r="G563" t="inlineStr">
        <is>
          <t>ÄLMHULT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35481-2024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45531</v>
      </c>
      <c r="E564" s="1" t="n">
        <v>46220</v>
      </c>
      <c r="F564" t="inlineStr">
        <is>
          <t>KRONOBERGS LÄN</t>
        </is>
      </c>
      <c r="G564" t="inlineStr">
        <is>
          <t>ÄLMHULT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59114-2022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44897</v>
      </c>
      <c r="E565" s="1" t="n">
        <v>46220</v>
      </c>
      <c r="F565" t="inlineStr">
        <is>
          <t>KRONOBERGS LÄN</t>
        </is>
      </c>
      <c r="G565" t="inlineStr">
        <is>
          <t>ÄLMHULT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48145-2021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44449</v>
      </c>
      <c r="E566" s="1" t="n">
        <v>46220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46740-2024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45583</v>
      </c>
      <c r="E567" s="1" t="n">
        <v>46220</v>
      </c>
      <c r="F567" t="inlineStr">
        <is>
          <t>KRONOBERGS LÄN</t>
        </is>
      </c>
      <c r="G567" t="inlineStr">
        <is>
          <t>ÄLMHULT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12093-2025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46220</v>
      </c>
      <c r="F568" t="inlineStr">
        <is>
          <t>KRONOBERGS LÄN</t>
        </is>
      </c>
      <c r="G568" t="inlineStr">
        <is>
          <t>ÄLMHULT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49041-2024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45594</v>
      </c>
      <c r="E569" s="1" t="n">
        <v>46220</v>
      </c>
      <c r="F569" t="inlineStr">
        <is>
          <t>KRONOBERGS LÄN</t>
        </is>
      </c>
      <c r="G569" t="inlineStr">
        <is>
          <t>ÄLMHULT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26605-2024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45469</v>
      </c>
      <c r="E570" s="1" t="n">
        <v>46220</v>
      </c>
      <c r="F570" t="inlineStr">
        <is>
          <t>KRONOBERGS LÄN</t>
        </is>
      </c>
      <c r="G570" t="inlineStr">
        <is>
          <t>ÄLMHULT</t>
        </is>
      </c>
      <c r="H570" t="inlineStr">
        <is>
          <t>Sveaskog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15568-2024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45401</v>
      </c>
      <c r="E571" s="1" t="n">
        <v>46220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26386-2023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46220</v>
      </c>
      <c r="F572" t="inlineStr">
        <is>
          <t>KRONOBERGS LÄN</t>
        </is>
      </c>
      <c r="G572" t="inlineStr">
        <is>
          <t>ÄLMHULT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24248-2026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46220</v>
      </c>
      <c r="F573" t="inlineStr">
        <is>
          <t>KRONOBERGS LÄN</t>
        </is>
      </c>
      <c r="G573" t="inlineStr">
        <is>
          <t>ÄLMHULT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26454-2023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45092</v>
      </c>
      <c r="E574" s="1" t="n">
        <v>46220</v>
      </c>
      <c r="F574" t="inlineStr">
        <is>
          <t>KRONOBERGS LÄN</t>
        </is>
      </c>
      <c r="G574" t="inlineStr">
        <is>
          <t>ÄLMHULT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28693-2023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45103</v>
      </c>
      <c r="E575" s="1" t="n">
        <v>46220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29753-2026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46220</v>
      </c>
      <c r="F576" t="inlineStr">
        <is>
          <t>KRONOBERGS LÄN</t>
        </is>
      </c>
      <c r="G576" t="inlineStr">
        <is>
          <t>ÄLMHULT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30370-2022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44760</v>
      </c>
      <c r="E577" s="1" t="n">
        <v>46220</v>
      </c>
      <c r="F577" t="inlineStr">
        <is>
          <t>KRONOBERGS LÄN</t>
        </is>
      </c>
      <c r="G577" t="inlineStr">
        <is>
          <t>ÄLMHULT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68189-2021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44526</v>
      </c>
      <c r="E578" s="1" t="n">
        <v>46220</v>
      </c>
      <c r="F578" t="inlineStr">
        <is>
          <t>KRONOBERGS LÄN</t>
        </is>
      </c>
      <c r="G578" t="inlineStr">
        <is>
          <t>ÄLMHULT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46220</v>
      </c>
      <c r="F579" t="inlineStr">
        <is>
          <t>KRONOBERGS LÄN</t>
        </is>
      </c>
      <c r="G579" t="inlineStr">
        <is>
          <t>ÄLMHULT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46220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46220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46220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46220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41781-2023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46220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46220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30996-2026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46220</v>
      </c>
      <c r="F586" t="inlineStr">
        <is>
          <t>KRONOBERGS LÄN</t>
        </is>
      </c>
      <c r="G586" t="inlineStr">
        <is>
          <t>ÄLMHULT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31080-2026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46216</v>
      </c>
      <c r="E587" s="1" t="n">
        <v>46220</v>
      </c>
      <c r="F587" t="inlineStr">
        <is>
          <t>KRONOBERGS LÄN</t>
        </is>
      </c>
      <c r="G587" t="inlineStr">
        <is>
          <t>ÄLMHULT</t>
        </is>
      </c>
      <c r="H587" t="inlineStr">
        <is>
          <t>Sveaskog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31104-2026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46216</v>
      </c>
      <c r="E588" s="1" t="n">
        <v>46220</v>
      </c>
      <c r="F588" t="inlineStr">
        <is>
          <t>KRONOBERGS LÄN</t>
        </is>
      </c>
      <c r="G588" t="inlineStr">
        <is>
          <t>ÄLMHULT</t>
        </is>
      </c>
      <c r="H588" t="inlineStr">
        <is>
          <t>Sveaskog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62122-2022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44921</v>
      </c>
      <c r="E589" s="1" t="n">
        <v>46220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44928</v>
      </c>
      <c r="E590" s="1" t="n">
        <v>46220</v>
      </c>
      <c r="F590" t="inlineStr">
        <is>
          <t>KRONOBERGS LÄN</t>
        </is>
      </c>
      <c r="G590" t="inlineStr">
        <is>
          <t>ÄLMHULT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740-2022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44568</v>
      </c>
      <c r="E591" s="1" t="n">
        <v>46220</v>
      </c>
      <c r="F591" t="inlineStr">
        <is>
          <t>KRONOBERGS LÄN</t>
        </is>
      </c>
      <c r="G591" t="inlineStr">
        <is>
          <t>ÄLMHULT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50805-2025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45946</v>
      </c>
      <c r="E592" s="1" t="n">
        <v>46220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31111-2026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46220</v>
      </c>
      <c r="F593" t="inlineStr">
        <is>
          <t>KRONOBERGS LÄN</t>
        </is>
      </c>
      <c r="G593" t="inlineStr">
        <is>
          <t>ÄLMHULT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11782-2022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44634</v>
      </c>
      <c r="E594" s="1" t="n">
        <v>46220</v>
      </c>
      <c r="F594" t="inlineStr">
        <is>
          <t>KRONOBERGS LÄN</t>
        </is>
      </c>
      <c r="G594" t="inlineStr">
        <is>
          <t>ÄLMHULT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44592</v>
      </c>
      <c r="E595" s="1" t="n">
        <v>46220</v>
      </c>
      <c r="F595" t="inlineStr">
        <is>
          <t>KRONOBERGS LÄN</t>
        </is>
      </c>
      <c r="G595" t="inlineStr">
        <is>
          <t>ÄLMHULT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46220</v>
      </c>
      <c r="F596" t="inlineStr">
        <is>
          <t>KRONOBERGS LÄN</t>
        </is>
      </c>
      <c r="G596" t="inlineStr">
        <is>
          <t>ÄLMHULT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31872-2022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44777</v>
      </c>
      <c r="E597" s="1" t="n">
        <v>46220</v>
      </c>
      <c r="F597" t="inlineStr">
        <is>
          <t>KRONOBERGS LÄN</t>
        </is>
      </c>
      <c r="G597" t="inlineStr">
        <is>
          <t>ÄLMHULT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44942</v>
      </c>
      <c r="E598" s="1" t="n">
        <v>46220</v>
      </c>
      <c r="F598" t="inlineStr">
        <is>
          <t>KRONOBERGS LÄN</t>
        </is>
      </c>
      <c r="G598" t="inlineStr">
        <is>
          <t>ÄLMHULT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2242-2023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44942</v>
      </c>
      <c r="E599" s="1" t="n">
        <v>46220</v>
      </c>
      <c r="F599" t="inlineStr">
        <is>
          <t>KRONOBERGS LÄN</t>
        </is>
      </c>
      <c r="G599" t="inlineStr">
        <is>
          <t>ÄLMHULT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63115-2023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46220</v>
      </c>
      <c r="F600" t="inlineStr">
        <is>
          <t>KRONOBERGS LÄN</t>
        </is>
      </c>
      <c r="G600" t="inlineStr">
        <is>
          <t>ÄLMHULT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43467-2025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45911</v>
      </c>
      <c r="E601" s="1" t="n">
        <v>46220</v>
      </c>
      <c r="F601" t="inlineStr">
        <is>
          <t>KRONOBERGS LÄN</t>
        </is>
      </c>
      <c r="G601" t="inlineStr">
        <is>
          <t>ÄLMHULT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31103-2026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46220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31113-2026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46220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30852-2024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45497</v>
      </c>
      <c r="E604" s="1" t="n">
        <v>46220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50540-2023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45217</v>
      </c>
      <c r="E605" s="1" t="n">
        <v>46220</v>
      </c>
      <c r="F605" t="inlineStr">
        <is>
          <t>KRONOBERGS LÄN</t>
        </is>
      </c>
      <c r="G605" t="inlineStr">
        <is>
          <t>ÄLMHULT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10087-2022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44621</v>
      </c>
      <c r="E606" s="1" t="n">
        <v>46220</v>
      </c>
      <c r="F606" t="inlineStr">
        <is>
          <t>KRONOBERGS LÄN</t>
        </is>
      </c>
      <c r="G606" t="inlineStr">
        <is>
          <t>ÄLMHULT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62172-2022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44922</v>
      </c>
      <c r="E607" s="1" t="n">
        <v>46220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40123-2023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45169</v>
      </c>
      <c r="E608" s="1" t="n">
        <v>46220</v>
      </c>
      <c r="F608" t="inlineStr">
        <is>
          <t>KRONOBERGS LÄN</t>
        </is>
      </c>
      <c r="G608" t="inlineStr">
        <is>
          <t>ÄLMHULT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49112-2022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44860</v>
      </c>
      <c r="E609" s="1" t="n">
        <v>46220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45154</v>
      </c>
      <c r="E610" s="1" t="n">
        <v>46220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12112-2022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44636</v>
      </c>
      <c r="E611" s="1" t="n">
        <v>46220</v>
      </c>
      <c r="F611" t="inlineStr">
        <is>
          <t>KRONOBERGS LÄN</t>
        </is>
      </c>
      <c r="G611" t="inlineStr">
        <is>
          <t>ÄLMHULT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68552-2021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44529</v>
      </c>
      <c r="E612" s="1" t="n">
        <v>46220</v>
      </c>
      <c r="F612" t="inlineStr">
        <is>
          <t>KRONOBERGS LÄN</t>
        </is>
      </c>
      <c r="G612" t="inlineStr">
        <is>
          <t>ÄLMHULT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63569-2021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44508</v>
      </c>
      <c r="E613" s="1" t="n">
        <v>46220</v>
      </c>
      <c r="F613" t="inlineStr">
        <is>
          <t>KRONOBERGS LÄN</t>
        </is>
      </c>
      <c r="G613" t="inlineStr">
        <is>
          <t>ÄLMHULT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48331-2022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46220</v>
      </c>
      <c r="F614" t="inlineStr">
        <is>
          <t>KRONOBERGS LÄN</t>
        </is>
      </c>
      <c r="G614" t="inlineStr">
        <is>
          <t>ÄLMHULT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20840-2025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45776</v>
      </c>
      <c r="E615" s="1" t="n">
        <v>46220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413-2025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45663</v>
      </c>
      <c r="E616" s="1" t="n">
        <v>46220</v>
      </c>
      <c r="F616" t="inlineStr">
        <is>
          <t>KRONOBERGS LÄN</t>
        </is>
      </c>
      <c r="G616" t="inlineStr">
        <is>
          <t>ÄLMHULT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56266-2024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45624</v>
      </c>
      <c r="E617" s="1" t="n">
        <v>46220</v>
      </c>
      <c r="F617" t="inlineStr">
        <is>
          <t>KRONOBERGS LÄN</t>
        </is>
      </c>
      <c r="G617" t="inlineStr">
        <is>
          <t>ÄLMHULT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21306-2025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45781</v>
      </c>
      <c r="E618" s="1" t="n">
        <v>46220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16320-2024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45407</v>
      </c>
      <c r="E619" s="1" t="n">
        <v>46220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10018-2025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46220</v>
      </c>
      <c r="F620" t="inlineStr">
        <is>
          <t>KRONOBERGS LÄN</t>
        </is>
      </c>
      <c r="G620" t="inlineStr">
        <is>
          <t>ÄLMHULT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34848-2024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45527</v>
      </c>
      <c r="E621" s="1" t="n">
        <v>46220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59454-2024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45638</v>
      </c>
      <c r="E622" s="1" t="n">
        <v>46220</v>
      </c>
      <c r="F622" t="inlineStr">
        <is>
          <t>KRONOBERGS LÄN</t>
        </is>
      </c>
      <c r="G622" t="inlineStr">
        <is>
          <t>ÄLMHULT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46220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46220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46220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46220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46220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46220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46220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46220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46220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46220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46220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46220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46220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46220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46220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46220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46220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46220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46220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2026-07-17T01:43:07Z</dcterms:created>
  <dcterms:modified xmlns:dcterms="http://purl.org/dc/terms/" xmlns:xsi="http://www.w3.org/2001/XMLSchema-instance" xsi:type="dcterms:W3CDTF">2026-07-17T01:43:07Z</dcterms:modified>
</cp:coreProperties>
</file>