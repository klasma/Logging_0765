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46261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46261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46261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46261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46261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46261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46261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46261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46261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46261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46261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46261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46261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14429-2023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45012</v>
      </c>
      <c r="E16" s="1" t="n">
        <v>46261</v>
      </c>
      <c r="F16" t="inlineStr">
        <is>
          <t>KRONOBERGS LÄN</t>
        </is>
      </c>
      <c r="G16" t="inlineStr">
        <is>
          <t>ÄLMHULT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Gulnål
Ärtsångare</t>
        </is>
      </c>
      <c r="W16">
        <f>HYPERLINK("https://klasma.github.io/Logging_0765/artfynd/A 14429-2023 artfynd.xlsx", "A 14429-2023")</f>
        <v/>
      </c>
      <c r="X16">
        <f>HYPERLINK("https://klasma.github.io/Logging_0765/kartor/A 14429-2023 karta.png", "A 14429-2023")</f>
        <v/>
      </c>
      <c r="Y16">
        <f>HYPERLINK("https://klasma.github.io/Logging_0765/kartor_geotiff/A 14429-2023 georefererad karta.tif", "A 14429-2023")</f>
        <v/>
      </c>
      <c r="AA16">
        <f>HYPERLINK("https://klasma.github.io/Logging_0765/klagomål/A 14429-2023 FSC-klagomål.docx", "A 14429-2023")</f>
        <v/>
      </c>
      <c r="AB16">
        <f>HYPERLINK("https://klasma.github.io/Logging_0765/klagomålsmail/A 14429-2023 FSC-klagomål mail.docx", "A 14429-2023")</f>
        <v/>
      </c>
      <c r="AC16">
        <f>HYPERLINK("https://klasma.github.io/Logging_0765/tillsyn/A 14429-2023 tillsynsbegäran.docx", "A 14429-2023")</f>
        <v/>
      </c>
      <c r="AD16">
        <f>HYPERLINK("https://klasma.github.io/Logging_0765/tillsynsmail/A 14429-2023 tillsynsbegäran mail.docx", "A 14429-2023")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46261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46261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46261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46261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46261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46261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46261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46261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46261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46261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46261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46261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58048-2024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46261</v>
      </c>
      <c r="F29" t="inlineStr">
        <is>
          <t>KRONOBERGS LÄN</t>
        </is>
      </c>
      <c r="G29" t="inlineStr">
        <is>
          <t>ÄLMHULT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Solvända</t>
        </is>
      </c>
      <c r="W29">
        <f>HYPERLINK("https://klasma.github.io/Logging_0765/artfynd/A 58048-2024 artfynd.xlsx", "A 58048-2024")</f>
        <v/>
      </c>
      <c r="X29">
        <f>HYPERLINK("https://klasma.github.io/Logging_0765/kartor/A 58048-2024 karta.png", "A 58048-2024")</f>
        <v/>
      </c>
      <c r="Y29">
        <f>HYPERLINK("https://klasma.github.io/Logging_0765/kartor_geotiff/A 58048-2024 georefererad karta.tif", "A 58048-2024")</f>
        <v/>
      </c>
      <c r="AA29">
        <f>HYPERLINK("https://klasma.github.io/Logging_0765/klagomål/A 58048-2024 FSC-klagomål.docx", "A 58048-2024")</f>
        <v/>
      </c>
      <c r="AB29">
        <f>HYPERLINK("https://klasma.github.io/Logging_0765/klagomålsmail/A 58048-2024 FSC-klagomål mail.docx", "A 58048-2024")</f>
        <v/>
      </c>
      <c r="AC29">
        <f>HYPERLINK("https://klasma.github.io/Logging_0765/tillsyn/A 58048-2024 tillsynsbegäran.docx", "A 58048-2024")</f>
        <v/>
      </c>
      <c r="AD29">
        <f>HYPERLINK("https://klasma.github.io/Logging_0765/tillsynsmail/A 58048-2024 tillsynsbegäran mail.docx", "A 58048-2024")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46261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46261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10199-2025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46261</v>
      </c>
      <c r="F32" t="inlineStr">
        <is>
          <t>KRONOBERGS LÄN</t>
        </is>
      </c>
      <c r="G32" t="inlineStr">
        <is>
          <t>ÄLMHULT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HYPERLINK("https://klasma.github.io/Logging_0765/artfynd/A 10199-2025 artfynd.xlsx", "A 10199-2025")</f>
        <v/>
      </c>
      <c r="X32">
        <f>HYPERLINK("https://klasma.github.io/Logging_0765/kartor/A 10199-2025 karta.png", "A 10199-2025")</f>
        <v/>
      </c>
      <c r="Y32">
        <f>HYPERLINK("https://klasma.github.io/Logging_0765/kartor_geotiff/A 10199-2025 georefererad karta.tif", "A 10199-2025")</f>
        <v/>
      </c>
      <c r="AA32">
        <f>HYPERLINK("https://klasma.github.io/Logging_0765/klagomål/A 10199-2025 FSC-klagomål.docx", "A 10199-2025")</f>
        <v/>
      </c>
      <c r="AB32">
        <f>HYPERLINK("https://klasma.github.io/Logging_0765/klagomålsmail/A 10199-2025 FSC-klagomål mail.docx", "A 10199-2025")</f>
        <v/>
      </c>
      <c r="AC32">
        <f>HYPERLINK("https://klasma.github.io/Logging_0765/tillsyn/A 10199-2025 tillsynsbegäran.docx", "A 10199-2025")</f>
        <v/>
      </c>
      <c r="AD32">
        <f>HYPERLINK("https://klasma.github.io/Logging_0765/tillsynsmail/A 10199-2025 tillsynsbegäran mail.docx", "A 10199-2025")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46261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46261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46261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46261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46261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46261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46261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46261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46261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46261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46261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46261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46261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46261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46261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46261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46261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46261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46261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46261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46261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46261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46261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46261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46261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46261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46261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46261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46261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46261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46261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46261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46261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46261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46261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46261</v>
      </c>
      <c r="F68" t="inlineStr">
        <is>
          <t>KRONOBERGS LÄN</t>
        </is>
      </c>
      <c r="G68" t="inlineStr">
        <is>
          <t>ÄLMHULT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46261</v>
      </c>
      <c r="F69" t="inlineStr">
        <is>
          <t>KRONOBERGS LÄN</t>
        </is>
      </c>
      <c r="G69" t="inlineStr">
        <is>
          <t>ÄLMHULT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44453</v>
      </c>
      <c r="E70" s="1" t="n">
        <v>46261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44504</v>
      </c>
      <c r="E71" s="1" t="n">
        <v>46261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46261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46261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46261</v>
      </c>
      <c r="F74" t="inlineStr">
        <is>
          <t>KRONOBERGS LÄN</t>
        </is>
      </c>
      <c r="G74" t="inlineStr">
        <is>
          <t>ÄLMHULT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46261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46261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46261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46261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46261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46261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46261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46261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52297-2021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44463</v>
      </c>
      <c r="E83" s="1" t="n">
        <v>46261</v>
      </c>
      <c r="F83" t="inlineStr">
        <is>
          <t>KRONOBERGS LÄN</t>
        </is>
      </c>
      <c r="G83" t="inlineStr">
        <is>
          <t>ÄLMHULT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25812-2022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44733</v>
      </c>
      <c r="E84" s="1" t="n">
        <v>46261</v>
      </c>
      <c r="F84" t="inlineStr">
        <is>
          <t>KRONOBERGS LÄN</t>
        </is>
      </c>
      <c r="G84" t="inlineStr">
        <is>
          <t>ÄLMHULT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46261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44621</v>
      </c>
      <c r="E86" s="1" t="n">
        <v>46261</v>
      </c>
      <c r="F86" t="inlineStr">
        <is>
          <t>KRONOBERGS LÄN</t>
        </is>
      </c>
      <c r="G86" t="inlineStr">
        <is>
          <t>ÄLMHULT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46261</v>
      </c>
      <c r="F87" t="inlineStr">
        <is>
          <t>KRONOBERGS LÄN</t>
        </is>
      </c>
      <c r="G87" t="inlineStr">
        <is>
          <t>ÄLMHULT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46261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44680</v>
      </c>
      <c r="E89" s="1" t="n">
        <v>46261</v>
      </c>
      <c r="F89" t="inlineStr">
        <is>
          <t>KRONOBERGS LÄN</t>
        </is>
      </c>
      <c r="G89" t="inlineStr">
        <is>
          <t>ÄLMHULT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46261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46261</v>
      </c>
      <c r="F91" t="inlineStr">
        <is>
          <t>KRONOBERGS LÄN</t>
        </is>
      </c>
      <c r="G91" t="inlineStr">
        <is>
          <t>ÄLMHULT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46261</v>
      </c>
      <c r="F92" t="inlineStr">
        <is>
          <t>KRONOBERGS LÄN</t>
        </is>
      </c>
      <c r="G92" t="inlineStr">
        <is>
          <t>ÄLMHULT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46261</v>
      </c>
      <c r="F93" t="inlineStr">
        <is>
          <t>KRONOBERGS LÄN</t>
        </is>
      </c>
      <c r="G93" t="inlineStr">
        <is>
          <t>ÄLMHULT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56106-2021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46261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46261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46261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46261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67941-2021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46261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46261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46261</v>
      </c>
      <c r="F100" t="inlineStr">
        <is>
          <t>KRONOBERGS LÄN</t>
        </is>
      </c>
      <c r="G100" t="inlineStr">
        <is>
          <t>ÄLMHULT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46261</v>
      </c>
      <c r="F101" t="inlineStr">
        <is>
          <t>KRONOBERGS LÄN</t>
        </is>
      </c>
      <c r="G101" t="inlineStr">
        <is>
          <t>ÄLMHULT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46261</v>
      </c>
      <c r="F102" t="inlineStr">
        <is>
          <t>KRONOBERGS LÄN</t>
        </is>
      </c>
      <c r="G102" t="inlineStr">
        <is>
          <t>ÄLMHULT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46261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66897-2021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46261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46261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46261</v>
      </c>
      <c r="F106" t="inlineStr">
        <is>
          <t>KRONOBERGS LÄN</t>
        </is>
      </c>
      <c r="G106" t="inlineStr">
        <is>
          <t>ÄLMHULT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46261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46261</v>
      </c>
      <c r="F108" t="inlineStr">
        <is>
          <t>KRONOBERGS LÄN</t>
        </is>
      </c>
      <c r="G108" t="inlineStr">
        <is>
          <t>ÄLMHULT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46261</v>
      </c>
      <c r="F109" t="inlineStr">
        <is>
          <t>KRONOBERGS LÄN</t>
        </is>
      </c>
      <c r="G109" t="inlineStr">
        <is>
          <t>ÄLMHULT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46261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46261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46261</v>
      </c>
      <c r="F112" t="inlineStr">
        <is>
          <t>KRONOBERGS LÄN</t>
        </is>
      </c>
      <c r="G112" t="inlineStr">
        <is>
          <t>ÄLMHULT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46261</v>
      </c>
      <c r="F113" t="inlineStr">
        <is>
          <t>KRONOBERGS LÄN</t>
        </is>
      </c>
      <c r="G113" t="inlineStr">
        <is>
          <t>ÄLMHULT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46261</v>
      </c>
      <c r="F114" t="inlineStr">
        <is>
          <t>KRONOBERGS LÄN</t>
        </is>
      </c>
      <c r="G114" t="inlineStr">
        <is>
          <t>ÄLMHULT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46261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45497</v>
      </c>
      <c r="E116" s="1" t="n">
        <v>46261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46261</v>
      </c>
      <c r="F117" t="inlineStr">
        <is>
          <t>KRONOBERGS LÄN</t>
        </is>
      </c>
      <c r="G117" t="inlineStr">
        <is>
          <t>ÄLMHULT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44855</v>
      </c>
      <c r="E118" s="1" t="n">
        <v>46261</v>
      </c>
      <c r="F118" t="inlineStr">
        <is>
          <t>KRONOBERGS LÄN</t>
        </is>
      </c>
      <c r="G118" t="inlineStr">
        <is>
          <t>ÄLMHULT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46261</v>
      </c>
      <c r="F119" t="inlineStr">
        <is>
          <t>KRONOBERGS LÄN</t>
        </is>
      </c>
      <c r="G119" t="inlineStr">
        <is>
          <t>ÄLMHULT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46261</v>
      </c>
      <c r="F120" t="inlineStr">
        <is>
          <t>KRONOBERGS LÄN</t>
        </is>
      </c>
      <c r="G120" t="inlineStr">
        <is>
          <t>ÄLMHULT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45078</v>
      </c>
      <c r="E121" s="1" t="n">
        <v>46261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45348</v>
      </c>
      <c r="E122" s="1" t="n">
        <v>46261</v>
      </c>
      <c r="F122" t="inlineStr">
        <is>
          <t>KRONOBERGS LÄN</t>
        </is>
      </c>
      <c r="G122" t="inlineStr">
        <is>
          <t>ÄLMHULT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46261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45217</v>
      </c>
      <c r="E124" s="1" t="n">
        <v>46261</v>
      </c>
      <c r="F124" t="inlineStr">
        <is>
          <t>KRONOBERGS LÄN</t>
        </is>
      </c>
      <c r="G124" t="inlineStr">
        <is>
          <t>ÄLMHULT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46261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37151-2024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45539</v>
      </c>
      <c r="E126" s="1" t="n">
        <v>46261</v>
      </c>
      <c r="F126" t="inlineStr">
        <is>
          <t>KRONOBERGS LÄN</t>
        </is>
      </c>
      <c r="G126" t="inlineStr">
        <is>
          <t>ÄLMHULT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46261</v>
      </c>
      <c r="F127" t="inlineStr">
        <is>
          <t>KRONOBERGS LÄN</t>
        </is>
      </c>
      <c r="G127" t="inlineStr">
        <is>
          <t>ÄLMHULT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45317</v>
      </c>
      <c r="E128" s="1" t="n">
        <v>46261</v>
      </c>
      <c r="F128" t="inlineStr">
        <is>
          <t>KRONOBERGS LÄN</t>
        </is>
      </c>
      <c r="G128" t="inlineStr">
        <is>
          <t>ÄLMHULT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45457</v>
      </c>
      <c r="E129" s="1" t="n">
        <v>46261</v>
      </c>
      <c r="F129" t="inlineStr">
        <is>
          <t>KRONOBERGS LÄN</t>
        </is>
      </c>
      <c r="G129" t="inlineStr">
        <is>
          <t>ÄLMHULT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45529</v>
      </c>
      <c r="E130" s="1" t="n">
        <v>46261</v>
      </c>
      <c r="F130" t="inlineStr">
        <is>
          <t>KRONOBERGS LÄN</t>
        </is>
      </c>
      <c r="G130" t="inlineStr">
        <is>
          <t>ÄLMHULT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11014-2023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44986</v>
      </c>
      <c r="E131" s="1" t="n">
        <v>46261</v>
      </c>
      <c r="F131" t="inlineStr">
        <is>
          <t>KRONOBERGS LÄN</t>
        </is>
      </c>
      <c r="G131" t="inlineStr">
        <is>
          <t>ÄLMHULT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46261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46261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46261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46261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46261</v>
      </c>
      <c r="F136" t="inlineStr">
        <is>
          <t>KRONOBERGS LÄN</t>
        </is>
      </c>
      <c r="G136" t="inlineStr">
        <is>
          <t>ÄLMHULT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46261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44449</v>
      </c>
      <c r="E138" s="1" t="n">
        <v>46261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46016</v>
      </c>
      <c r="E139" s="1" t="n">
        <v>46261</v>
      </c>
      <c r="F139" t="inlineStr">
        <is>
          <t>KRONOBERGS LÄN</t>
        </is>
      </c>
      <c r="G139" t="inlineStr">
        <is>
          <t>ÄLMHULT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46261</v>
      </c>
      <c r="F140" t="inlineStr">
        <is>
          <t>KRONOBERGS LÄN</t>
        </is>
      </c>
      <c r="G140" t="inlineStr">
        <is>
          <t>ÄLMHULT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44962</v>
      </c>
      <c r="E141" s="1" t="n">
        <v>46261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46261</v>
      </c>
      <c r="F142" t="inlineStr">
        <is>
          <t>KRONOBERGS LÄN</t>
        </is>
      </c>
      <c r="G142" t="inlineStr">
        <is>
          <t>ÄLMHULT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44998</v>
      </c>
      <c r="E143" s="1" t="n">
        <v>46261</v>
      </c>
      <c r="F143" t="inlineStr">
        <is>
          <t>KRONOBERGS LÄN</t>
        </is>
      </c>
      <c r="G143" t="inlineStr">
        <is>
          <t>ÄLMHULT</t>
        </is>
      </c>
      <c r="H143" t="inlineStr">
        <is>
          <t>Sveaskog</t>
        </is>
      </c>
      <c r="I143" t="n">
        <v>9.300000000000001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46261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46261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45457</v>
      </c>
      <c r="E146" s="1" t="n">
        <v>46261</v>
      </c>
      <c r="F146" t="inlineStr">
        <is>
          <t>KRONOBERGS LÄN</t>
        </is>
      </c>
      <c r="G146" t="inlineStr">
        <is>
          <t>ÄLMHULT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46261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46261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46261</v>
      </c>
      <c r="F149" t="inlineStr">
        <is>
          <t>KRONOBERGS LÄN</t>
        </is>
      </c>
      <c r="G149" t="inlineStr">
        <is>
          <t>ÄLMHULT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46261</v>
      </c>
      <c r="F150" t="inlineStr">
        <is>
          <t>KRONOBERGS LÄN</t>
        </is>
      </c>
      <c r="G150" t="inlineStr">
        <is>
          <t>ÄLMHULT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24638-2024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46261</v>
      </c>
      <c r="F151" t="inlineStr">
        <is>
          <t>KRONOBERGS LÄN</t>
        </is>
      </c>
      <c r="G151" t="inlineStr">
        <is>
          <t>ÄLMHULT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46261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46261</v>
      </c>
      <c r="F153" t="inlineStr">
        <is>
          <t>KRONOBERGS LÄN</t>
        </is>
      </c>
      <c r="G153" t="inlineStr">
        <is>
          <t>ÄLMHULT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46261</v>
      </c>
      <c r="F154" t="inlineStr">
        <is>
          <t>KRONOBERGS LÄN</t>
        </is>
      </c>
      <c r="G154" t="inlineStr">
        <is>
          <t>ÄLMHULT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45663</v>
      </c>
      <c r="E155" s="1" t="n">
        <v>46261</v>
      </c>
      <c r="F155" t="inlineStr">
        <is>
          <t>KRONOBERGS LÄN</t>
        </is>
      </c>
      <c r="G155" t="inlineStr">
        <is>
          <t>ÄLMHULT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46261</v>
      </c>
      <c r="F156" t="inlineStr">
        <is>
          <t>KRONOBERGS LÄN</t>
        </is>
      </c>
      <c r="G156" t="inlineStr">
        <is>
          <t>ÄLMHULT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46261</v>
      </c>
      <c r="F157" t="inlineStr">
        <is>
          <t>KRONOBERGS LÄN</t>
        </is>
      </c>
      <c r="G157" t="inlineStr">
        <is>
          <t>ÄLMHULT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46261</v>
      </c>
      <c r="F158" t="inlineStr">
        <is>
          <t>KRONOBERGS LÄN</t>
        </is>
      </c>
      <c r="G158" t="inlineStr">
        <is>
          <t>ÄLMHULT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46261</v>
      </c>
      <c r="F159" t="inlineStr">
        <is>
          <t>KRONOBERGS LÄN</t>
        </is>
      </c>
      <c r="G159" t="inlineStr">
        <is>
          <t>ÄLMHULT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46261</v>
      </c>
      <c r="F160" t="inlineStr">
        <is>
          <t>KRONOBERGS LÄN</t>
        </is>
      </c>
      <c r="G160" t="inlineStr">
        <is>
          <t>ÄLMHULT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46261</v>
      </c>
      <c r="F161" t="inlineStr">
        <is>
          <t>KRONOBERGS LÄN</t>
        </is>
      </c>
      <c r="G161" t="inlineStr">
        <is>
          <t>ÄLMHULT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46261</v>
      </c>
      <c r="F162" t="inlineStr">
        <is>
          <t>KRONOBERGS LÄN</t>
        </is>
      </c>
      <c r="G162" t="inlineStr">
        <is>
          <t>ÄLMHULT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46261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46261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46261</v>
      </c>
      <c r="F165" t="inlineStr">
        <is>
          <t>KRONOBERGS LÄN</t>
        </is>
      </c>
      <c r="G165" t="inlineStr">
        <is>
          <t>ÄLMHULT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46041</v>
      </c>
      <c r="E166" s="1" t="n">
        <v>46261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44582</v>
      </c>
      <c r="E167" s="1" t="n">
        <v>46261</v>
      </c>
      <c r="F167" t="inlineStr">
        <is>
          <t>KRONOBERGS LÄN</t>
        </is>
      </c>
      <c r="G167" t="inlineStr">
        <is>
          <t>ÄLMHULT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46045</v>
      </c>
      <c r="E168" s="1" t="n">
        <v>46261</v>
      </c>
      <c r="F168" t="inlineStr">
        <is>
          <t>KRONOBERGS LÄN</t>
        </is>
      </c>
      <c r="G168" t="inlineStr">
        <is>
          <t>ÄLMHULT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46261</v>
      </c>
      <c r="F169" t="inlineStr">
        <is>
          <t>KRONOBERGS LÄN</t>
        </is>
      </c>
      <c r="G169" t="inlineStr">
        <is>
          <t>ÄLMHULT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46261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46261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46261</v>
      </c>
      <c r="F172" t="inlineStr">
        <is>
          <t>KRONOBERGS LÄN</t>
        </is>
      </c>
      <c r="G172" t="inlineStr">
        <is>
          <t>ÄLMHULT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46261</v>
      </c>
      <c r="F173" t="inlineStr">
        <is>
          <t>KRONOBERGS LÄN</t>
        </is>
      </c>
      <c r="G173" t="inlineStr">
        <is>
          <t>ÄLMHULT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45695</v>
      </c>
      <c r="E174" s="1" t="n">
        <v>46261</v>
      </c>
      <c r="F174" t="inlineStr">
        <is>
          <t>KRONOBERGS LÄN</t>
        </is>
      </c>
      <c r="G174" t="inlineStr">
        <is>
          <t>ÄLMHULT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46261</v>
      </c>
      <c r="F175" t="inlineStr">
        <is>
          <t>KRONOBERGS LÄN</t>
        </is>
      </c>
      <c r="G175" t="inlineStr">
        <is>
          <t>ÄLMHULT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53214-2024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45612</v>
      </c>
      <c r="E176" s="1" t="n">
        <v>46261</v>
      </c>
      <c r="F176" t="inlineStr">
        <is>
          <t>KRONOBERGS LÄN</t>
        </is>
      </c>
      <c r="G176" t="inlineStr">
        <is>
          <t>ÄLMHULT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46261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46261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46261</v>
      </c>
      <c r="F179" t="inlineStr">
        <is>
          <t>KRONOBERGS LÄN</t>
        </is>
      </c>
      <c r="G179" t="inlineStr">
        <is>
          <t>ÄLMHULT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46061</v>
      </c>
      <c r="E180" s="1" t="n">
        <v>46261</v>
      </c>
      <c r="F180" t="inlineStr">
        <is>
          <t>KRONOBERGS LÄN</t>
        </is>
      </c>
      <c r="G180" t="inlineStr">
        <is>
          <t>ÄLMHULT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8102-2026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46063</v>
      </c>
      <c r="E181" s="1" t="n">
        <v>46261</v>
      </c>
      <c r="F181" t="inlineStr">
        <is>
          <t>KRONOBERGS LÄN</t>
        </is>
      </c>
      <c r="G181" t="inlineStr">
        <is>
          <t>ÄLMHULT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46261</v>
      </c>
      <c r="F182" t="inlineStr">
        <is>
          <t>KRONOBERGS LÄN</t>
        </is>
      </c>
      <c r="G182" t="inlineStr">
        <is>
          <t>ÄLMHULT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45335</v>
      </c>
      <c r="E183" s="1" t="n">
        <v>46261</v>
      </c>
      <c r="F183" t="inlineStr">
        <is>
          <t>KRONOBERGS LÄN</t>
        </is>
      </c>
      <c r="G183" t="inlineStr">
        <is>
          <t>ÄLMHULT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46261</v>
      </c>
      <c r="F184" t="inlineStr">
        <is>
          <t>KRONOBERGS LÄN</t>
        </is>
      </c>
      <c r="G184" t="inlineStr">
        <is>
          <t>ÄLMHULT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45441</v>
      </c>
      <c r="E185" s="1" t="n">
        <v>46261</v>
      </c>
      <c r="F185" t="inlineStr">
        <is>
          <t>KRONOBERGS LÄN</t>
        </is>
      </c>
      <c r="G185" t="inlineStr">
        <is>
          <t>ÄLMHULT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46261</v>
      </c>
      <c r="F186" t="inlineStr">
        <is>
          <t>KRONOBERGS LÄN</t>
        </is>
      </c>
      <c r="G186" t="inlineStr">
        <is>
          <t>ÄLMHULT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46065</v>
      </c>
      <c r="E187" s="1" t="n">
        <v>46261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46261</v>
      </c>
      <c r="F188" t="inlineStr">
        <is>
          <t>KRONOBERGS LÄN</t>
        </is>
      </c>
      <c r="G188" t="inlineStr">
        <is>
          <t>ÄLMHULT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72469-2021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44545</v>
      </c>
      <c r="E189" s="1" t="n">
        <v>46261</v>
      </c>
      <c r="F189" t="inlineStr">
        <is>
          <t>KRONOBERGS LÄN</t>
        </is>
      </c>
      <c r="G189" t="inlineStr">
        <is>
          <t>ÄLMHULT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40123-2023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46261</v>
      </c>
      <c r="F190" t="inlineStr">
        <is>
          <t>KRONOBERGS LÄN</t>
        </is>
      </c>
      <c r="G190" t="inlineStr">
        <is>
          <t>ÄLMHULT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46261</v>
      </c>
      <c r="F191" t="inlineStr">
        <is>
          <t>KRONOBERGS LÄN</t>
        </is>
      </c>
      <c r="G191" t="inlineStr">
        <is>
          <t>ÄLMHULT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46261</v>
      </c>
      <c r="F192" t="inlineStr">
        <is>
          <t>KRONOBERGS LÄN</t>
        </is>
      </c>
      <c r="G192" t="inlineStr">
        <is>
          <t>ÄLMHULT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46261</v>
      </c>
      <c r="F193" t="inlineStr">
        <is>
          <t>KRONOBERGS LÄN</t>
        </is>
      </c>
      <c r="G193" t="inlineStr">
        <is>
          <t>ÄLMHULT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46261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46261</v>
      </c>
      <c r="F195" t="inlineStr">
        <is>
          <t>KRONOBERGS LÄN</t>
        </is>
      </c>
      <c r="G195" t="inlineStr">
        <is>
          <t>ÄLMHULT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46261</v>
      </c>
      <c r="F196" t="inlineStr">
        <is>
          <t>KRONOBERGS LÄN</t>
        </is>
      </c>
      <c r="G196" t="inlineStr">
        <is>
          <t>ÄLMHULT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46261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46261</v>
      </c>
      <c r="F198" t="inlineStr">
        <is>
          <t>KRONOBERGS LÄN</t>
        </is>
      </c>
      <c r="G198" t="inlineStr">
        <is>
          <t>ÄLMHULT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44943</v>
      </c>
      <c r="E199" s="1" t="n">
        <v>46261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44641</v>
      </c>
      <c r="E200" s="1" t="n">
        <v>46261</v>
      </c>
      <c r="F200" t="inlineStr">
        <is>
          <t>KRONOBERGS LÄN</t>
        </is>
      </c>
      <c r="G200" t="inlineStr">
        <is>
          <t>ÄLMHULT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46261</v>
      </c>
      <c r="F201" t="inlineStr">
        <is>
          <t>KRONOBERGS LÄN</t>
        </is>
      </c>
      <c r="G201" t="inlineStr">
        <is>
          <t>ÄLMHULT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30322-2025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45827</v>
      </c>
      <c r="E202" s="1" t="n">
        <v>46261</v>
      </c>
      <c r="F202" t="inlineStr">
        <is>
          <t>KRONOBERGS LÄN</t>
        </is>
      </c>
      <c r="G202" t="inlineStr">
        <is>
          <t>ÄLMHULT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46261</v>
      </c>
      <c r="F203" t="inlineStr">
        <is>
          <t>KRONOBERGS LÄN</t>
        </is>
      </c>
      <c r="G203" t="inlineStr">
        <is>
          <t>ÄLMHULT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46261</v>
      </c>
      <c r="F204" t="inlineStr">
        <is>
          <t>KRONOBERGS LÄN</t>
        </is>
      </c>
      <c r="G204" t="inlineStr">
        <is>
          <t>ÄLMHULT</t>
        </is>
      </c>
      <c r="I204" t="n">
        <v>14.1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46261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46261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46261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45529</v>
      </c>
      <c r="E208" s="1" t="n">
        <v>46261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46261</v>
      </c>
      <c r="F209" t="inlineStr">
        <is>
          <t>KRONOBERGS LÄN</t>
        </is>
      </c>
      <c r="G209" t="inlineStr">
        <is>
          <t>ÄLMHULT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46261</v>
      </c>
      <c r="F210" t="inlineStr">
        <is>
          <t>KRONOBERGS LÄN</t>
        </is>
      </c>
      <c r="G210" t="inlineStr">
        <is>
          <t>ÄLMHULT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46261</v>
      </c>
      <c r="F211" t="inlineStr">
        <is>
          <t>KRONOBERGS LÄN</t>
        </is>
      </c>
      <c r="G211" t="inlineStr">
        <is>
          <t>ÄLMHULT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46261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46261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46261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46093</v>
      </c>
      <c r="E215" s="1" t="n">
        <v>46261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45373</v>
      </c>
      <c r="E216" s="1" t="n">
        <v>46261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46261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46261</v>
      </c>
      <c r="F218" t="inlineStr">
        <is>
          <t>KRONOBERGS LÄN</t>
        </is>
      </c>
      <c r="G218" t="inlineStr">
        <is>
          <t>ÄLMHULT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20380-2024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45435</v>
      </c>
      <c r="E219" s="1" t="n">
        <v>46261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45435</v>
      </c>
      <c r="E220" s="1" t="n">
        <v>46261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44853</v>
      </c>
      <c r="E221" s="1" t="n">
        <v>46261</v>
      </c>
      <c r="F221" t="inlineStr">
        <is>
          <t>KRONOBERGS LÄN</t>
        </is>
      </c>
      <c r="G221" t="inlineStr">
        <is>
          <t>ÄLMHULT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46261</v>
      </c>
      <c r="F222" t="inlineStr">
        <is>
          <t>KRONOBERGS LÄN</t>
        </is>
      </c>
      <c r="G222" t="inlineStr">
        <is>
          <t>ÄLMHULT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46261</v>
      </c>
      <c r="F223" t="inlineStr">
        <is>
          <t>KRONOBERGS LÄN</t>
        </is>
      </c>
      <c r="G223" t="inlineStr">
        <is>
          <t>ÄLMHULT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46261</v>
      </c>
      <c r="F224" t="inlineStr">
        <is>
          <t>KRONOBERGS LÄN</t>
        </is>
      </c>
      <c r="G224" t="inlineStr">
        <is>
          <t>ÄLMHULT</t>
        </is>
      </c>
      <c r="I224" t="n">
        <v>29.1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45854</v>
      </c>
      <c r="E225" s="1" t="n">
        <v>46261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46261</v>
      </c>
      <c r="F226" t="inlineStr">
        <is>
          <t>KRONOBERGS LÄN</t>
        </is>
      </c>
      <c r="G226" t="inlineStr">
        <is>
          <t>ÄLMHULT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46261</v>
      </c>
      <c r="F227" t="inlineStr">
        <is>
          <t>KRONOBERGS LÄN</t>
        </is>
      </c>
      <c r="G227" t="inlineStr">
        <is>
          <t>ÄLMHULT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46261</v>
      </c>
      <c r="F228" t="inlineStr">
        <is>
          <t>KRONOBERGS LÄN</t>
        </is>
      </c>
      <c r="G228" t="inlineStr">
        <is>
          <t>ÄLMHULT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45819</v>
      </c>
      <c r="E229" s="1" t="n">
        <v>46261</v>
      </c>
      <c r="F229" t="inlineStr">
        <is>
          <t>KRONOBERGS LÄN</t>
        </is>
      </c>
      <c r="G229" t="inlineStr">
        <is>
          <t>ÄLMHULT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44979</v>
      </c>
      <c r="E230" s="1" t="n">
        <v>46261</v>
      </c>
      <c r="F230" t="inlineStr">
        <is>
          <t>KRONOBERGS LÄN</t>
        </is>
      </c>
      <c r="G230" t="inlineStr">
        <is>
          <t>ÄLMHULT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44994</v>
      </c>
      <c r="E231" s="1" t="n">
        <v>46261</v>
      </c>
      <c r="F231" t="inlineStr">
        <is>
          <t>KRONOBERGS LÄN</t>
        </is>
      </c>
      <c r="G231" t="inlineStr">
        <is>
          <t>ÄLMHULT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46261</v>
      </c>
      <c r="F232" t="inlineStr">
        <is>
          <t>KRONOBERGS LÄN</t>
        </is>
      </c>
      <c r="G232" t="inlineStr">
        <is>
          <t>ÄLMHULT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45812</v>
      </c>
      <c r="E233" s="1" t="n">
        <v>46261</v>
      </c>
      <c r="F233" t="inlineStr">
        <is>
          <t>KRONOBERGS LÄN</t>
        </is>
      </c>
      <c r="G233" t="inlineStr">
        <is>
          <t>ÄLMHULT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69444-2021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44531</v>
      </c>
      <c r="E234" s="1" t="n">
        <v>46261</v>
      </c>
      <c r="F234" t="inlineStr">
        <is>
          <t>KRONOBERGS LÄN</t>
        </is>
      </c>
      <c r="G234" t="inlineStr">
        <is>
          <t>ÄLMHULT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46261</v>
      </c>
      <c r="F235" t="inlineStr">
        <is>
          <t>KRONOBERGS LÄN</t>
        </is>
      </c>
      <c r="G235" t="inlineStr">
        <is>
          <t>ÄLMHULT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46261</v>
      </c>
      <c r="F236" t="inlineStr">
        <is>
          <t>KRONOBERGS LÄN</t>
        </is>
      </c>
      <c r="G236" t="inlineStr">
        <is>
          <t>ÄLMHULT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45726</v>
      </c>
      <c r="E237" s="1" t="n">
        <v>46261</v>
      </c>
      <c r="F237" t="inlineStr">
        <is>
          <t>KRONOBERGS LÄN</t>
        </is>
      </c>
      <c r="G237" t="inlineStr">
        <is>
          <t>ÄLMHULT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45373</v>
      </c>
      <c r="E238" s="1" t="n">
        <v>46261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45867</v>
      </c>
      <c r="E239" s="1" t="n">
        <v>46261</v>
      </c>
      <c r="F239" t="inlineStr">
        <is>
          <t>KRONOBERGS LÄN</t>
        </is>
      </c>
      <c r="G239" t="inlineStr">
        <is>
          <t>ÄLMHULT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46261</v>
      </c>
      <c r="F240" t="inlineStr">
        <is>
          <t>KRONOBERGS LÄN</t>
        </is>
      </c>
      <c r="G240" t="inlineStr">
        <is>
          <t>ÄLMHULT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46261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46261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10.2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46261</v>
      </c>
      <c r="F243" t="inlineStr">
        <is>
          <t>KRONOBERGS LÄN</t>
        </is>
      </c>
      <c r="G243" t="inlineStr">
        <is>
          <t>ÄLMHULT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46261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15.3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46261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46261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60487-2022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46261</v>
      </c>
      <c r="F247" t="inlineStr">
        <is>
          <t>KRONOBERGS LÄN</t>
        </is>
      </c>
      <c r="G247" t="inlineStr">
        <is>
          <t>ÄLMHULT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46261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46261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46261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46261</v>
      </c>
      <c r="F251" t="inlineStr">
        <is>
          <t>KRONOBERGS LÄN</t>
        </is>
      </c>
      <c r="G251" t="inlineStr">
        <is>
          <t>ÄLMHULT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51190-2025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46261</v>
      </c>
      <c r="F252" t="inlineStr">
        <is>
          <t>KRONOBERGS LÄN</t>
        </is>
      </c>
      <c r="G252" t="inlineStr">
        <is>
          <t>ÄLMHULT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46261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46261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46261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46261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46261</v>
      </c>
      <c r="F257" t="inlineStr">
        <is>
          <t>KRONOBERGS LÄN</t>
        </is>
      </c>
      <c r="G257" t="inlineStr">
        <is>
          <t>ÄLMHULT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46261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28026-2024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45476</v>
      </c>
      <c r="E259" s="1" t="n">
        <v>46261</v>
      </c>
      <c r="F259" t="inlineStr">
        <is>
          <t>KRONOBERGS LÄN</t>
        </is>
      </c>
      <c r="G259" t="inlineStr">
        <is>
          <t>ÄLMHULT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46261</v>
      </c>
      <c r="F260" t="inlineStr">
        <is>
          <t>KRONOBERGS LÄN</t>
        </is>
      </c>
      <c r="G260" t="inlineStr">
        <is>
          <t>ÄLMHULT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62241-2021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44503</v>
      </c>
      <c r="E261" s="1" t="n">
        <v>46261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46261</v>
      </c>
      <c r="F262" t="inlineStr">
        <is>
          <t>KRONOBERGS LÄN</t>
        </is>
      </c>
      <c r="G262" t="inlineStr">
        <is>
          <t>ÄLMHULT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60876-2022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46261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46261</v>
      </c>
      <c r="F264" t="inlineStr">
        <is>
          <t>KRONOBERGS LÄN</t>
        </is>
      </c>
      <c r="G264" t="inlineStr">
        <is>
          <t>ÄLMHULT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45559</v>
      </c>
      <c r="E265" s="1" t="n">
        <v>46261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64999-2023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45286</v>
      </c>
      <c r="E266" s="1" t="n">
        <v>46261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45959</v>
      </c>
      <c r="E267" s="1" t="n">
        <v>46261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46125</v>
      </c>
      <c r="E268" s="1" t="n">
        <v>46261</v>
      </c>
      <c r="F268" t="inlineStr">
        <is>
          <t>KRONOBERGS LÄN</t>
        </is>
      </c>
      <c r="G268" t="inlineStr">
        <is>
          <t>ÄLMHULT</t>
        </is>
      </c>
      <c r="I268" t="n">
        <v>11.5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46261</v>
      </c>
      <c r="F269" t="inlineStr">
        <is>
          <t>KRONOBERGS LÄN</t>
        </is>
      </c>
      <c r="G269" t="inlineStr">
        <is>
          <t>ÄLMHULT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46128</v>
      </c>
      <c r="E270" s="1" t="n">
        <v>46261</v>
      </c>
      <c r="F270" t="inlineStr">
        <is>
          <t>KRONOBERGS LÄN</t>
        </is>
      </c>
      <c r="G270" t="inlineStr">
        <is>
          <t>ÄLMHULT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46261</v>
      </c>
      <c r="F271" t="inlineStr">
        <is>
          <t>KRONOBERGS LÄN</t>
        </is>
      </c>
      <c r="G271" t="inlineStr">
        <is>
          <t>ÄLMHULT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46261</v>
      </c>
      <c r="F272" t="inlineStr">
        <is>
          <t>KRONOBERGS LÄN</t>
        </is>
      </c>
      <c r="G272" t="inlineStr">
        <is>
          <t>ÄLMHULT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46261</v>
      </c>
      <c r="F273" t="inlineStr">
        <is>
          <t>KRONOBERGS LÄN</t>
        </is>
      </c>
      <c r="G273" t="inlineStr">
        <is>
          <t>ÄLMHULT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46261</v>
      </c>
      <c r="F274" t="inlineStr">
        <is>
          <t>KRONOBERGS LÄN</t>
        </is>
      </c>
      <c r="G274" t="inlineStr">
        <is>
          <t>ÄLMHULT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45969</v>
      </c>
      <c r="E275" s="1" t="n">
        <v>46261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45969</v>
      </c>
      <c r="E276" s="1" t="n">
        <v>46261</v>
      </c>
      <c r="F276" t="inlineStr">
        <is>
          <t>KRONOBERGS LÄN</t>
        </is>
      </c>
      <c r="G276" t="inlineStr">
        <is>
          <t>ÄLMHULT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45167</v>
      </c>
      <c r="E277" s="1" t="n">
        <v>46261</v>
      </c>
      <c r="F277" t="inlineStr">
        <is>
          <t>KRONOBERGS LÄN</t>
        </is>
      </c>
      <c r="G277" t="inlineStr">
        <is>
          <t>ÄLMHULT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46261</v>
      </c>
      <c r="F278" t="inlineStr">
        <is>
          <t>KRONOBERGS LÄN</t>
        </is>
      </c>
      <c r="G278" t="inlineStr">
        <is>
          <t>ÄLMHULT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45722</v>
      </c>
      <c r="E279" s="1" t="n">
        <v>46261</v>
      </c>
      <c r="F279" t="inlineStr">
        <is>
          <t>KRONOBERGS LÄN</t>
        </is>
      </c>
      <c r="G279" t="inlineStr">
        <is>
          <t>ÄLMHULT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46261</v>
      </c>
      <c r="F280" t="inlineStr">
        <is>
          <t>KRONOBERGS LÄN</t>
        </is>
      </c>
      <c r="G280" t="inlineStr">
        <is>
          <t>ÄLMHULT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35478-2024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46261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46261</v>
      </c>
      <c r="F282" t="inlineStr">
        <is>
          <t>KRONOBERGS LÄN</t>
        </is>
      </c>
      <c r="G282" t="inlineStr">
        <is>
          <t>ÄLMHULT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45687</v>
      </c>
      <c r="E283" s="1" t="n">
        <v>46261</v>
      </c>
      <c r="F283" t="inlineStr">
        <is>
          <t>KRONOBERGS LÄN</t>
        </is>
      </c>
      <c r="G283" t="inlineStr">
        <is>
          <t>ÄLMHULT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46261</v>
      </c>
      <c r="F284" t="inlineStr">
        <is>
          <t>KRONOBERGS LÄN</t>
        </is>
      </c>
      <c r="G284" t="inlineStr">
        <is>
          <t>ÄLMHULT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46261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46261</v>
      </c>
      <c r="F286" t="inlineStr">
        <is>
          <t>KRONOBERGS LÄN</t>
        </is>
      </c>
      <c r="G286" t="inlineStr">
        <is>
          <t>ÄLMHULT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46261</v>
      </c>
      <c r="F287" t="inlineStr">
        <is>
          <t>KRONOBERGS LÄN</t>
        </is>
      </c>
      <c r="G287" t="inlineStr">
        <is>
          <t>ÄLMHULT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46261</v>
      </c>
      <c r="F288" t="inlineStr">
        <is>
          <t>KRONOBERGS LÄN</t>
        </is>
      </c>
      <c r="G288" t="inlineStr">
        <is>
          <t>ÄLMHULT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45543</v>
      </c>
      <c r="E289" s="1" t="n">
        <v>46261</v>
      </c>
      <c r="F289" t="inlineStr">
        <is>
          <t>KRONOBERGS LÄN</t>
        </is>
      </c>
      <c r="G289" t="inlineStr">
        <is>
          <t>ÄLMHULT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45513</v>
      </c>
      <c r="E290" s="1" t="n">
        <v>46261</v>
      </c>
      <c r="F290" t="inlineStr">
        <is>
          <t>KRONOBERGS LÄN</t>
        </is>
      </c>
      <c r="G290" t="inlineStr">
        <is>
          <t>ÄLMHULT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46261</v>
      </c>
      <c r="F291" t="inlineStr">
        <is>
          <t>KRONOBERGS LÄN</t>
        </is>
      </c>
      <c r="G291" t="inlineStr">
        <is>
          <t>ÄLMHULT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46261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46261</v>
      </c>
      <c r="F293" t="inlineStr">
        <is>
          <t>KRONOBERGS LÄN</t>
        </is>
      </c>
      <c r="G293" t="inlineStr">
        <is>
          <t>ÄLMHULT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59803-2025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45992</v>
      </c>
      <c r="E294" s="1" t="n">
        <v>46261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46261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46261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46261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45328</v>
      </c>
      <c r="E298" s="1" t="n">
        <v>46261</v>
      </c>
      <c r="F298" t="inlineStr">
        <is>
          <t>KRONOBERGS LÄN</t>
        </is>
      </c>
      <c r="G298" t="inlineStr">
        <is>
          <t>ÄLMHULT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46261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46261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46261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46261</v>
      </c>
      <c r="F302" t="inlineStr">
        <is>
          <t>KRONOBERGS LÄN</t>
        </is>
      </c>
      <c r="G302" t="inlineStr">
        <is>
          <t>ÄLMHULT</t>
        </is>
      </c>
      <c r="H302" t="inlineStr">
        <is>
          <t>Kommuner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46261</v>
      </c>
      <c r="F303" t="inlineStr">
        <is>
          <t>KRONOBERGS LÄN</t>
        </is>
      </c>
      <c r="G303" t="inlineStr">
        <is>
          <t>ÄLMHULT</t>
        </is>
      </c>
      <c r="H303" t="inlineStr">
        <is>
          <t>Kommuner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45564</v>
      </c>
      <c r="E304" s="1" t="n">
        <v>46261</v>
      </c>
      <c r="F304" t="inlineStr">
        <is>
          <t>KRONOBERGS LÄN</t>
        </is>
      </c>
      <c r="G304" t="inlineStr">
        <is>
          <t>ÄLMHULT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45630</v>
      </c>
      <c r="E305" s="1" t="n">
        <v>46261</v>
      </c>
      <c r="F305" t="inlineStr">
        <is>
          <t>KRONOBERGS LÄN</t>
        </is>
      </c>
      <c r="G305" t="inlineStr">
        <is>
          <t>ÄLMHULT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45254</v>
      </c>
      <c r="E306" s="1" t="n">
        <v>46261</v>
      </c>
      <c r="F306" t="inlineStr">
        <is>
          <t>KRONOBERGS LÄN</t>
        </is>
      </c>
      <c r="G306" t="inlineStr">
        <is>
          <t>ÄLMHULT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46261</v>
      </c>
      <c r="F307" t="inlineStr">
        <is>
          <t>KRONOBERGS LÄN</t>
        </is>
      </c>
      <c r="G307" t="inlineStr">
        <is>
          <t>ÄLMHULT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46005</v>
      </c>
      <c r="E308" s="1" t="n">
        <v>46261</v>
      </c>
      <c r="F308" t="inlineStr">
        <is>
          <t>KRONOBERGS LÄN</t>
        </is>
      </c>
      <c r="G308" t="inlineStr">
        <is>
          <t>ÄLMHULT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27334-2025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45812</v>
      </c>
      <c r="E309" s="1" t="n">
        <v>46261</v>
      </c>
      <c r="F309" t="inlineStr">
        <is>
          <t>KRONOBERGS LÄN</t>
        </is>
      </c>
      <c r="G309" t="inlineStr">
        <is>
          <t>ÄLMHULT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46261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22415-2024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45446</v>
      </c>
      <c r="E311" s="1" t="n">
        <v>46261</v>
      </c>
      <c r="F311" t="inlineStr">
        <is>
          <t>KRONOBERGS LÄN</t>
        </is>
      </c>
      <c r="G311" t="inlineStr">
        <is>
          <t>ÄLMHULT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46147</v>
      </c>
      <c r="E312" s="1" t="n">
        <v>46261</v>
      </c>
      <c r="F312" t="inlineStr">
        <is>
          <t>KRONOBERGS LÄN</t>
        </is>
      </c>
      <c r="G312" t="inlineStr">
        <is>
          <t>ÄLMHULT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46261</v>
      </c>
      <c r="F313" t="inlineStr">
        <is>
          <t>KRONOBERGS LÄN</t>
        </is>
      </c>
      <c r="G313" t="inlineStr">
        <is>
          <t>ÄLMHULT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46261</v>
      </c>
      <c r="F314" t="inlineStr">
        <is>
          <t>KRONOBERGS LÄN</t>
        </is>
      </c>
      <c r="G314" t="inlineStr">
        <is>
          <t>ÄLMHULT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45594</v>
      </c>
      <c r="E315" s="1" t="n">
        <v>46261</v>
      </c>
      <c r="F315" t="inlineStr">
        <is>
          <t>KRONOBERGS LÄN</t>
        </is>
      </c>
      <c r="G315" t="inlineStr">
        <is>
          <t>ÄLMHULT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46261</v>
      </c>
      <c r="F316" t="inlineStr">
        <is>
          <t>KRONOBERGS LÄN</t>
        </is>
      </c>
      <c r="G316" t="inlineStr">
        <is>
          <t>ÄLMHULT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45462</v>
      </c>
      <c r="E317" s="1" t="n">
        <v>46261</v>
      </c>
      <c r="F317" t="inlineStr">
        <is>
          <t>KRONOBERGS LÄN</t>
        </is>
      </c>
      <c r="G317" t="inlineStr">
        <is>
          <t>ÄLMHULT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46261</v>
      </c>
      <c r="F318" t="inlineStr">
        <is>
          <t>KRONOBERGS LÄN</t>
        </is>
      </c>
      <c r="G318" t="inlineStr">
        <is>
          <t>ÄLMHULT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45258</v>
      </c>
      <c r="E319" s="1" t="n">
        <v>46261</v>
      </c>
      <c r="F319" t="inlineStr">
        <is>
          <t>KRONOBERGS LÄN</t>
        </is>
      </c>
      <c r="G319" t="inlineStr">
        <is>
          <t>ÄLMHULT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46261</v>
      </c>
      <c r="F320" t="inlineStr">
        <is>
          <t>KRONOBERGS LÄN</t>
        </is>
      </c>
      <c r="G320" t="inlineStr">
        <is>
          <t>ÄLMHULT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46261</v>
      </c>
      <c r="F321" t="inlineStr">
        <is>
          <t>KRONOBERGS LÄN</t>
        </is>
      </c>
      <c r="G321" t="inlineStr">
        <is>
          <t>ÄLMHULT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45578</v>
      </c>
      <c r="E322" s="1" t="n">
        <v>46261</v>
      </c>
      <c r="F322" t="inlineStr">
        <is>
          <t>KRONOBERGS LÄN</t>
        </is>
      </c>
      <c r="G322" t="inlineStr">
        <is>
          <t>ÄLMHULT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45308</v>
      </c>
      <c r="E323" s="1" t="n">
        <v>46261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46261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46261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46261</v>
      </c>
      <c r="F326" t="inlineStr">
        <is>
          <t>KRONOBERGS LÄN</t>
        </is>
      </c>
      <c r="G326" t="inlineStr">
        <is>
          <t>ÄLMHULT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46261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46261</v>
      </c>
      <c r="F328" t="inlineStr">
        <is>
          <t>KRONOBERGS LÄN</t>
        </is>
      </c>
      <c r="G328" t="inlineStr">
        <is>
          <t>ÄLMHULT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46261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45728</v>
      </c>
      <c r="E330" s="1" t="n">
        <v>46261</v>
      </c>
      <c r="F330" t="inlineStr">
        <is>
          <t>KRONOBERGS LÄN</t>
        </is>
      </c>
      <c r="G330" t="inlineStr">
        <is>
          <t>ÄLMHULT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45680</v>
      </c>
      <c r="E331" s="1" t="n">
        <v>46261</v>
      </c>
      <c r="F331" t="inlineStr">
        <is>
          <t>KRONOBERGS LÄN</t>
        </is>
      </c>
      <c r="G331" t="inlineStr">
        <is>
          <t>ÄLMHULT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26602-2024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46261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45078</v>
      </c>
      <c r="E333" s="1" t="n">
        <v>46261</v>
      </c>
      <c r="F333" t="inlineStr">
        <is>
          <t>KRONOBERGS LÄN</t>
        </is>
      </c>
      <c r="G333" t="inlineStr">
        <is>
          <t>ÄLMHULT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45715</v>
      </c>
      <c r="E334" s="1" t="n">
        <v>46261</v>
      </c>
      <c r="F334" t="inlineStr">
        <is>
          <t>KRONOBERGS LÄN</t>
        </is>
      </c>
      <c r="G334" t="inlineStr">
        <is>
          <t>ÄLMHULT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46168</v>
      </c>
      <c r="E335" s="1" t="n">
        <v>46261</v>
      </c>
      <c r="F335" t="inlineStr">
        <is>
          <t>KRONOBERGS LÄN</t>
        </is>
      </c>
      <c r="G335" t="inlineStr">
        <is>
          <t>ÄLMHULT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46261</v>
      </c>
      <c r="F336" t="inlineStr">
        <is>
          <t>KRONOBERGS LÄN</t>
        </is>
      </c>
      <c r="G336" t="inlineStr">
        <is>
          <t>ÄLMHULT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46261</v>
      </c>
      <c r="F337" t="inlineStr">
        <is>
          <t>KRONOBERGS LÄN</t>
        </is>
      </c>
      <c r="G337" t="inlineStr">
        <is>
          <t>ÄLMHULT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19722-2023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45051</v>
      </c>
      <c r="E338" s="1" t="n">
        <v>46261</v>
      </c>
      <c r="F338" t="inlineStr">
        <is>
          <t>KRONOBERGS LÄN</t>
        </is>
      </c>
      <c r="G338" t="inlineStr">
        <is>
          <t>ÄLMHULT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45154</v>
      </c>
      <c r="E339" s="1" t="n">
        <v>46261</v>
      </c>
      <c r="F339" t="inlineStr">
        <is>
          <t>KRONOBERGS LÄN</t>
        </is>
      </c>
      <c r="G339" t="inlineStr">
        <is>
          <t>ÄLMHULT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46261</v>
      </c>
      <c r="F340" t="inlineStr">
        <is>
          <t>KRONOBERGS LÄN</t>
        </is>
      </c>
      <c r="G340" t="inlineStr">
        <is>
          <t>ÄLMHULT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44760</v>
      </c>
      <c r="E341" s="1" t="n">
        <v>46261</v>
      </c>
      <c r="F341" t="inlineStr">
        <is>
          <t>KRONOBERGS LÄN</t>
        </is>
      </c>
      <c r="G341" t="inlineStr">
        <is>
          <t>ÄLMHULT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46261</v>
      </c>
      <c r="F342" t="inlineStr">
        <is>
          <t>KRONOBERGS LÄN</t>
        </is>
      </c>
      <c r="G342" t="inlineStr">
        <is>
          <t>ÄLMHULT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68212-2021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44526</v>
      </c>
      <c r="E343" s="1" t="n">
        <v>46261</v>
      </c>
      <c r="F343" t="inlineStr">
        <is>
          <t>KRONOBERGS LÄN</t>
        </is>
      </c>
      <c r="G343" t="inlineStr">
        <is>
          <t>ÄLMHULT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46261</v>
      </c>
      <c r="F344" t="inlineStr">
        <is>
          <t>KRONOBERGS LÄN</t>
        </is>
      </c>
      <c r="G344" t="inlineStr">
        <is>
          <t>ÄLMHULT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46261</v>
      </c>
      <c r="F345" t="inlineStr">
        <is>
          <t>KRONOBERGS LÄN</t>
        </is>
      </c>
      <c r="G345" t="inlineStr">
        <is>
          <t>ÄLMHULT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41227-2022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44826</v>
      </c>
      <c r="E346" s="1" t="n">
        <v>46261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45062</v>
      </c>
      <c r="E347" s="1" t="n">
        <v>46261</v>
      </c>
      <c r="F347" t="inlineStr">
        <is>
          <t>KRONOBERGS LÄN</t>
        </is>
      </c>
      <c r="G347" t="inlineStr">
        <is>
          <t>ÄLMHULT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60621-2021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44496</v>
      </c>
      <c r="E348" s="1" t="n">
        <v>46261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44568</v>
      </c>
      <c r="E349" s="1" t="n">
        <v>46261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46226</v>
      </c>
      <c r="E350" s="1" t="n">
        <v>46261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46226</v>
      </c>
      <c r="E351" s="1" t="n">
        <v>46261</v>
      </c>
      <c r="F351" t="inlineStr">
        <is>
          <t>KRONOBERGS LÄN</t>
        </is>
      </c>
      <c r="G351" t="inlineStr">
        <is>
          <t>ÄLMHULT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46261</v>
      </c>
      <c r="F352" t="inlineStr">
        <is>
          <t>KRONOBERGS LÄN</t>
        </is>
      </c>
      <c r="G352" t="inlineStr">
        <is>
          <t>ÄLMHULT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31711-2026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46226</v>
      </c>
      <c r="E353" s="1" t="n">
        <v>46261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46261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41781-2023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45176</v>
      </c>
      <c r="E355" s="1" t="n">
        <v>46261</v>
      </c>
      <c r="F355" t="inlineStr">
        <is>
          <t>KRONOBERGS LÄN</t>
        </is>
      </c>
      <c r="G355" t="inlineStr">
        <is>
          <t>ÄLMHULT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33002-2022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44784</v>
      </c>
      <c r="E356" s="1" t="n">
        <v>46261</v>
      </c>
      <c r="F356" t="inlineStr">
        <is>
          <t>KRONOBERGS LÄN</t>
        </is>
      </c>
      <c r="G356" t="inlineStr">
        <is>
          <t>ÄLMHULT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31754-2026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46227</v>
      </c>
      <c r="E357" s="1" t="n">
        <v>46261</v>
      </c>
      <c r="F357" t="inlineStr">
        <is>
          <t>KRONOBERGS LÄN</t>
        </is>
      </c>
      <c r="G357" t="inlineStr">
        <is>
          <t>ÄLMHULT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46227</v>
      </c>
      <c r="E358" s="1" t="n">
        <v>46261</v>
      </c>
      <c r="F358" t="inlineStr">
        <is>
          <t>KRONOBERGS LÄN</t>
        </is>
      </c>
      <c r="G358" t="inlineStr">
        <is>
          <t>ÄLMHULT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7539-2024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46261</v>
      </c>
      <c r="F359" t="inlineStr">
        <is>
          <t>KRONOBERGS LÄN</t>
        </is>
      </c>
      <c r="G359" t="inlineStr">
        <is>
          <t>ÄLMHULT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46261</v>
      </c>
      <c r="F360" t="inlineStr">
        <is>
          <t>KRONOBERGS LÄN</t>
        </is>
      </c>
      <c r="G360" t="inlineStr">
        <is>
          <t>ÄLMHULT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46261</v>
      </c>
      <c r="F361" t="inlineStr">
        <is>
          <t>KRONOBERGS LÄN</t>
        </is>
      </c>
      <c r="G361" t="inlineStr">
        <is>
          <t>ÄLMHULT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46261</v>
      </c>
      <c r="F362" t="inlineStr">
        <is>
          <t>KRONOBERGS LÄN</t>
        </is>
      </c>
      <c r="G362" t="inlineStr">
        <is>
          <t>ÄLMHULT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45735</v>
      </c>
      <c r="E363" s="1" t="n">
        <v>46261</v>
      </c>
      <c r="F363" t="inlineStr">
        <is>
          <t>KRONOBERGS LÄN</t>
        </is>
      </c>
      <c r="G363" t="inlineStr">
        <is>
          <t>ÄLMHULT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46261</v>
      </c>
      <c r="F364" t="inlineStr">
        <is>
          <t>KRONOBERGS LÄN</t>
        </is>
      </c>
      <c r="G364" t="inlineStr">
        <is>
          <t>ÄLMHULT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46261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46261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46261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32126-2026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46234</v>
      </c>
      <c r="E368" s="1" t="n">
        <v>46261</v>
      </c>
      <c r="F368" t="inlineStr">
        <is>
          <t>KRONOBERGS LÄN</t>
        </is>
      </c>
      <c r="G368" t="inlineStr">
        <is>
          <t>ÄLMHULT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45792</v>
      </c>
      <c r="E369" s="1" t="n">
        <v>46261</v>
      </c>
      <c r="F369" t="inlineStr">
        <is>
          <t>KRONOBERGS LÄN</t>
        </is>
      </c>
      <c r="G369" t="inlineStr">
        <is>
          <t>ÄLMHULT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45078</v>
      </c>
      <c r="E370" s="1" t="n">
        <v>46261</v>
      </c>
      <c r="F370" t="inlineStr">
        <is>
          <t>KRONOBERGS LÄN</t>
        </is>
      </c>
      <c r="G370" t="inlineStr">
        <is>
          <t>ÄLMHULT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46261</v>
      </c>
      <c r="F371" t="inlineStr">
        <is>
          <t>KRONOBERGS LÄN</t>
        </is>
      </c>
      <c r="G371" t="inlineStr">
        <is>
          <t>ÄLMHULT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45180</v>
      </c>
      <c r="E372" s="1" t="n">
        <v>46261</v>
      </c>
      <c r="F372" t="inlineStr">
        <is>
          <t>KRONOBERGS LÄN</t>
        </is>
      </c>
      <c r="G372" t="inlineStr">
        <is>
          <t>ÄLMHULT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45583</v>
      </c>
      <c r="E373" s="1" t="n">
        <v>46261</v>
      </c>
      <c r="F373" t="inlineStr">
        <is>
          <t>KRONOBERGS LÄN</t>
        </is>
      </c>
      <c r="G373" t="inlineStr">
        <is>
          <t>ÄLMHULT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46261</v>
      </c>
      <c r="F374" t="inlineStr">
        <is>
          <t>KRONOBERGS LÄN</t>
        </is>
      </c>
      <c r="G374" t="inlineStr">
        <is>
          <t>ÄLMHULT</t>
        </is>
      </c>
      <c r="H374" t="inlineStr">
        <is>
          <t>Kyrkan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68552-2021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44529</v>
      </c>
      <c r="E375" s="1" t="n">
        <v>46261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46261</v>
      </c>
      <c r="F376" t="inlineStr">
        <is>
          <t>KRONOBERGS LÄN</t>
        </is>
      </c>
      <c r="G376" t="inlineStr">
        <is>
          <t>ÄLMHULT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33840-2023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45133</v>
      </c>
      <c r="E377" s="1" t="n">
        <v>46261</v>
      </c>
      <c r="F377" t="inlineStr">
        <is>
          <t>KRONOBERGS LÄN</t>
        </is>
      </c>
      <c r="G377" t="inlineStr">
        <is>
          <t>ÄLMHULT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54500-2022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44882</v>
      </c>
      <c r="E378" s="1" t="n">
        <v>46261</v>
      </c>
      <c r="F378" t="inlineStr">
        <is>
          <t>KRONOBERGS LÄN</t>
        </is>
      </c>
      <c r="G378" t="inlineStr">
        <is>
          <t>ÄLMHULT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45467</v>
      </c>
      <c r="E379" s="1" t="n">
        <v>46261</v>
      </c>
      <c r="F379" t="inlineStr">
        <is>
          <t>KRONOBERGS LÄN</t>
        </is>
      </c>
      <c r="G379" t="inlineStr">
        <is>
          <t>ÄLMHULT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46261</v>
      </c>
      <c r="F380" t="inlineStr">
        <is>
          <t>KRONOBERGS LÄN</t>
        </is>
      </c>
      <c r="G380" t="inlineStr">
        <is>
          <t>ÄLMHULT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44858</v>
      </c>
      <c r="E381" s="1" t="n">
        <v>46261</v>
      </c>
      <c r="F381" t="inlineStr">
        <is>
          <t>KRONOBERGS LÄN</t>
        </is>
      </c>
      <c r="G381" t="inlineStr">
        <is>
          <t>ÄLMHULT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46261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46261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46261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46261</v>
      </c>
      <c r="F385" t="inlineStr">
        <is>
          <t>KRONOBERGS LÄN</t>
        </is>
      </c>
      <c r="G385" t="inlineStr">
        <is>
          <t>ÄLMHULT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46261</v>
      </c>
      <c r="F386" t="inlineStr">
        <is>
          <t>KRONOBERGS LÄN</t>
        </is>
      </c>
      <c r="G386" t="inlineStr">
        <is>
          <t>ÄLMHULT</t>
        </is>
      </c>
      <c r="H386" t="inlineStr">
        <is>
          <t>Kyrkan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44855-2021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44438</v>
      </c>
      <c r="E387" s="1" t="n">
        <v>46261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45374</v>
      </c>
      <c r="E388" s="1" t="n">
        <v>46261</v>
      </c>
      <c r="F388" t="inlineStr">
        <is>
          <t>KRONOBERGS LÄN</t>
        </is>
      </c>
      <c r="G388" t="inlineStr">
        <is>
          <t>ÄLMHULT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46240</v>
      </c>
      <c r="E389" s="1" t="n">
        <v>46261</v>
      </c>
      <c r="F389" t="inlineStr">
        <is>
          <t>KRONOBERGS LÄN</t>
        </is>
      </c>
      <c r="G389" t="inlineStr">
        <is>
          <t>ÄLMHULT</t>
        </is>
      </c>
      <c r="H389" t="inlineStr">
        <is>
          <t>Kyrkan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46240</v>
      </c>
      <c r="E390" s="1" t="n">
        <v>46261</v>
      </c>
      <c r="F390" t="inlineStr">
        <is>
          <t>KRONOBERGS LÄN</t>
        </is>
      </c>
      <c r="G390" t="inlineStr">
        <is>
          <t>ÄLMHULT</t>
        </is>
      </c>
      <c r="H390" t="inlineStr">
        <is>
          <t>Kyrkan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19818-2024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45433</v>
      </c>
      <c r="E391" s="1" t="n">
        <v>46261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44897</v>
      </c>
      <c r="E392" s="1" t="n">
        <v>46261</v>
      </c>
      <c r="F392" t="inlineStr">
        <is>
          <t>KRONOBERGS LÄN</t>
        </is>
      </c>
      <c r="G392" t="inlineStr">
        <is>
          <t>ÄLMHULT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45737</v>
      </c>
      <c r="E393" s="1" t="n">
        <v>46261</v>
      </c>
      <c r="F393" t="inlineStr">
        <is>
          <t>KRONOBERGS LÄN</t>
        </is>
      </c>
      <c r="G393" t="inlineStr">
        <is>
          <t>ÄLMHULT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46261</v>
      </c>
      <c r="F394" t="inlineStr">
        <is>
          <t>KRONOBERGS LÄN</t>
        </is>
      </c>
      <c r="G394" t="inlineStr">
        <is>
          <t>ÄLMHULT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33261-2026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46246</v>
      </c>
      <c r="E395" s="1" t="n">
        <v>46261</v>
      </c>
      <c r="F395" t="inlineStr">
        <is>
          <t>KRONOBERGS LÄN</t>
        </is>
      </c>
      <c r="G395" t="inlineStr">
        <is>
          <t>ÄLMHULT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46261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33105-2026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46245</v>
      </c>
      <c r="E397" s="1" t="n">
        <v>46261</v>
      </c>
      <c r="F397" t="inlineStr">
        <is>
          <t>KRONOBERGS LÄN</t>
        </is>
      </c>
      <c r="G397" t="inlineStr">
        <is>
          <t>ÄLMHULT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46261</v>
      </c>
      <c r="F398" t="inlineStr">
        <is>
          <t>KRONOBERGS LÄN</t>
        </is>
      </c>
      <c r="G398" t="inlineStr">
        <is>
          <t>ÄLMHULT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45251</v>
      </c>
      <c r="E399" s="1" t="n">
        <v>46261</v>
      </c>
      <c r="F399" t="inlineStr">
        <is>
          <t>KRONOBERGS LÄN</t>
        </is>
      </c>
      <c r="G399" t="inlineStr">
        <is>
          <t>ÄLMHULT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46261</v>
      </c>
      <c r="F400" t="inlineStr">
        <is>
          <t>KRONOBERGS LÄN</t>
        </is>
      </c>
      <c r="G400" t="inlineStr">
        <is>
          <t>ÄLMHULT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63569-2021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44508</v>
      </c>
      <c r="E401" s="1" t="n">
        <v>46261</v>
      </c>
      <c r="F401" t="inlineStr">
        <is>
          <t>KRONOBERGS LÄN</t>
        </is>
      </c>
      <c r="G401" t="inlineStr">
        <is>
          <t>ÄLMHULT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29141-2026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46261</v>
      </c>
      <c r="F402" t="inlineStr">
        <is>
          <t>KRONOBERGS LÄN</t>
        </is>
      </c>
      <c r="G402" t="inlineStr">
        <is>
          <t>ÄLMHULT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45566</v>
      </c>
      <c r="E403" s="1" t="n">
        <v>46261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46245</v>
      </c>
      <c r="E404" s="1" t="n">
        <v>46261</v>
      </c>
      <c r="F404" t="inlineStr">
        <is>
          <t>KRONOBERGS LÄN</t>
        </is>
      </c>
      <c r="G404" t="inlineStr">
        <is>
          <t>ÄLMHULT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46261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46261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45001</v>
      </c>
      <c r="E407" s="1" t="n">
        <v>46261</v>
      </c>
      <c r="F407" t="inlineStr">
        <is>
          <t>KRONOBERGS LÄN</t>
        </is>
      </c>
      <c r="G407" t="inlineStr">
        <is>
          <t>ÄLMHULT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45352</v>
      </c>
      <c r="E408" s="1" t="n">
        <v>46261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46261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46261</v>
      </c>
      <c r="F410" t="inlineStr">
        <is>
          <t>KRONOBERGS LÄN</t>
        </is>
      </c>
      <c r="G410" t="inlineStr">
        <is>
          <t>ÄLMHULT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46261</v>
      </c>
      <c r="F411" t="inlineStr">
        <is>
          <t>KRONOBERGS LÄN</t>
        </is>
      </c>
      <c r="G411" t="inlineStr">
        <is>
          <t>ÄLMHULT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46204</v>
      </c>
      <c r="E412" s="1" t="n">
        <v>46261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46261</v>
      </c>
      <c r="F413" t="inlineStr">
        <is>
          <t>KRONOBERGS LÄN</t>
        </is>
      </c>
      <c r="G413" t="inlineStr">
        <is>
          <t>ÄLMHULT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46261</v>
      </c>
      <c r="F414" t="inlineStr">
        <is>
          <t>KRONOBERGS LÄN</t>
        </is>
      </c>
      <c r="G414" t="inlineStr">
        <is>
          <t>ÄLMHULT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46261</v>
      </c>
      <c r="F415" t="inlineStr">
        <is>
          <t>KRONOBERGS LÄN</t>
        </is>
      </c>
      <c r="G415" t="inlineStr">
        <is>
          <t>ÄLMHULT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46248</v>
      </c>
      <c r="E416" s="1" t="n">
        <v>46261</v>
      </c>
      <c r="F416" t="inlineStr">
        <is>
          <t>KRONOBERGS LÄN</t>
        </is>
      </c>
      <c r="G416" t="inlineStr">
        <is>
          <t>ÄLMHULT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46248</v>
      </c>
      <c r="E417" s="1" t="n">
        <v>46261</v>
      </c>
      <c r="F417" t="inlineStr">
        <is>
          <t>KRONOBERGS LÄN</t>
        </is>
      </c>
      <c r="G417" t="inlineStr">
        <is>
          <t>ÄLMHULT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44935</v>
      </c>
      <c r="E418" s="1" t="n">
        <v>46261</v>
      </c>
      <c r="F418" t="inlineStr">
        <is>
          <t>KRONOBERGS LÄN</t>
        </is>
      </c>
      <c r="G418" t="inlineStr">
        <is>
          <t>ÄLMHULT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46247</v>
      </c>
      <c r="E419" s="1" t="n">
        <v>46261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46261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44992</v>
      </c>
      <c r="E421" s="1" t="n">
        <v>46261</v>
      </c>
      <c r="F421" t="inlineStr">
        <is>
          <t>KRONOBERGS LÄN</t>
        </is>
      </c>
      <c r="G421" t="inlineStr">
        <is>
          <t>ÄLMHULT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46261</v>
      </c>
      <c r="F422" t="inlineStr">
        <is>
          <t>KRONOBERGS LÄN</t>
        </is>
      </c>
      <c r="G422" t="inlineStr">
        <is>
          <t>ÄLMHULT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45352</v>
      </c>
      <c r="E423" s="1" t="n">
        <v>46261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46261</v>
      </c>
      <c r="F424" t="inlineStr">
        <is>
          <t>KRONOBERGS LÄN</t>
        </is>
      </c>
      <c r="G424" t="inlineStr">
        <is>
          <t>ÄLMHULT</t>
        </is>
      </c>
      <c r="H424" t="inlineStr">
        <is>
          <t>Kyrkan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33893-2026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46261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45092</v>
      </c>
      <c r="E426" s="1" t="n">
        <v>46261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13606-2023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45006</v>
      </c>
      <c r="E427" s="1" t="n">
        <v>46261</v>
      </c>
      <c r="F427" t="inlineStr">
        <is>
          <t>KRONOBERGS LÄN</t>
        </is>
      </c>
      <c r="G427" t="inlineStr">
        <is>
          <t>ÄLMHULT</t>
        </is>
      </c>
      <c r="H427" t="inlineStr">
        <is>
          <t>Kommuner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45092</v>
      </c>
      <c r="E428" s="1" t="n">
        <v>46261</v>
      </c>
      <c r="F428" t="inlineStr">
        <is>
          <t>KRONOBERGS LÄN</t>
        </is>
      </c>
      <c r="G428" t="inlineStr">
        <is>
          <t>ÄLMHULT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46261</v>
      </c>
      <c r="F429" t="inlineStr">
        <is>
          <t>KRONOBERGS LÄN</t>
        </is>
      </c>
      <c r="G429" t="inlineStr">
        <is>
          <t>ÄLMHULT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45376</v>
      </c>
      <c r="E430" s="1" t="n">
        <v>46261</v>
      </c>
      <c r="F430" t="inlineStr">
        <is>
          <t>KRONOBERGS LÄN</t>
        </is>
      </c>
      <c r="G430" t="inlineStr">
        <is>
          <t>ÄLMHULT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44942</v>
      </c>
      <c r="E431" s="1" t="n">
        <v>46261</v>
      </c>
      <c r="F431" t="inlineStr">
        <is>
          <t>KRONOBERGS LÄN</t>
        </is>
      </c>
      <c r="G431" t="inlineStr">
        <is>
          <t>ÄLMHULT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14890-2023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46261</v>
      </c>
      <c r="F432" t="inlineStr">
        <is>
          <t>KRONOBERGS LÄN</t>
        </is>
      </c>
      <c r="G432" t="inlineStr">
        <is>
          <t>ÄLMHULT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71802-2021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44543</v>
      </c>
      <c r="E433" s="1" t="n">
        <v>46261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45155</v>
      </c>
      <c r="E434" s="1" t="n">
        <v>46261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45450</v>
      </c>
      <c r="E435" s="1" t="n">
        <v>46261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67257-2021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46261</v>
      </c>
      <c r="F436" t="inlineStr">
        <is>
          <t>KRONOBERGS LÄN</t>
        </is>
      </c>
      <c r="G436" t="inlineStr">
        <is>
          <t>ÄLMHULT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55629-2021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44476</v>
      </c>
      <c r="E437" s="1" t="n">
        <v>46261</v>
      </c>
      <c r="F437" t="inlineStr">
        <is>
          <t>KRONOBERGS LÄN</t>
        </is>
      </c>
      <c r="G437" t="inlineStr">
        <is>
          <t>ÄLMHULT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47281-2024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46261</v>
      </c>
      <c r="F438" t="inlineStr">
        <is>
          <t>KRONOBERGS LÄN</t>
        </is>
      </c>
      <c r="G438" t="inlineStr">
        <is>
          <t>ÄLMHULT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54734-2021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46261</v>
      </c>
      <c r="F439" t="inlineStr">
        <is>
          <t>KRONOBERGS LÄN</t>
        </is>
      </c>
      <c r="G439" t="inlineStr">
        <is>
          <t>ÄLMHULT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45615</v>
      </c>
      <c r="E440" s="1" t="n">
        <v>46261</v>
      </c>
      <c r="F440" t="inlineStr">
        <is>
          <t>KRONOBERGS LÄN</t>
        </is>
      </c>
      <c r="G440" t="inlineStr">
        <is>
          <t>ÄLMHULT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44958</v>
      </c>
      <c r="E441" s="1" t="n">
        <v>46261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27756-2023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46261</v>
      </c>
      <c r="F442" t="inlineStr">
        <is>
          <t>KRONOBERGS LÄN</t>
        </is>
      </c>
      <c r="G442" t="inlineStr">
        <is>
          <t>ÄLMHULT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  <c r="Z442">
        <f>HYPERLINK("https://klasma.github.io/Logging_0765/knärot/A 27756-2023 karta knärot.png", "A 27756-2023")</f>
        <v/>
      </c>
      <c r="AA442">
        <f>HYPERLINK("https://klasma.github.io/Logging_0765/klagomål/A 27756-2023 FSC-klagomål.docx", "A 27756-2023")</f>
        <v/>
      </c>
      <c r="AB442">
        <f>HYPERLINK("https://klasma.github.io/Logging_0765/klagomålsmail/A 27756-2023 FSC-klagomål mail.docx", "A 27756-2023")</f>
        <v/>
      </c>
      <c r="AC442">
        <f>HYPERLINK("https://klasma.github.io/Logging_0765/tillsyn/A 27756-2023 tillsynsbegäran.docx", "A 27756-2023")</f>
        <v/>
      </c>
      <c r="AD442">
        <f>HYPERLINK("https://klasma.github.io/Logging_0765/tillsynsmail/A 27756-2023 tillsynsbegäran mail.docx", "A 27756-2023")</f>
        <v/>
      </c>
    </row>
    <row r="443" ht="15" customHeight="1">
      <c r="A443" t="inlineStr">
        <is>
          <t>A 34477-2026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46261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46257</v>
      </c>
      <c r="E444" s="1" t="n">
        <v>46261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46261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34707-2026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46261</v>
      </c>
      <c r="F446" t="inlineStr">
        <is>
          <t>KRONOBERGS LÄN</t>
        </is>
      </c>
      <c r="G446" t="inlineStr">
        <is>
          <t>ÄLMHULT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46261</v>
      </c>
      <c r="F447" t="inlineStr">
        <is>
          <t>KRONOBERGS LÄN</t>
        </is>
      </c>
      <c r="G447" t="inlineStr">
        <is>
          <t>ÄLMHULT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46261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46261</v>
      </c>
      <c r="F449" t="inlineStr">
        <is>
          <t>KRONOBERGS LÄN</t>
        </is>
      </c>
      <c r="G449" t="inlineStr">
        <is>
          <t>ÄLMHULT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46261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37297-2023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45156</v>
      </c>
      <c r="E451" s="1" t="n">
        <v>46261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46261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40909-2024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46261</v>
      </c>
      <c r="F453" t="inlineStr">
        <is>
          <t>KRONOBERGS LÄN</t>
        </is>
      </c>
      <c r="G453" t="inlineStr">
        <is>
          <t>ÄLMHULT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46261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45133</v>
      </c>
      <c r="E455" s="1" t="n">
        <v>46261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46261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46261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46261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45355</v>
      </c>
      <c r="E459" s="1" t="n">
        <v>46261</v>
      </c>
      <c r="F459" t="inlineStr">
        <is>
          <t>KRONOBERGS LÄN</t>
        </is>
      </c>
      <c r="G459" t="inlineStr">
        <is>
          <t>ÄLMHULT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46261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44979</v>
      </c>
      <c r="E461" s="1" t="n">
        <v>46261</v>
      </c>
      <c r="F461" t="inlineStr">
        <is>
          <t>KRONOBERGS LÄN</t>
        </is>
      </c>
      <c r="G461" t="inlineStr">
        <is>
          <t>ÄLMHULT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44672-2023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45189</v>
      </c>
      <c r="E462" s="1" t="n">
        <v>46261</v>
      </c>
      <c r="F462" t="inlineStr">
        <is>
          <t>KRONOBERGS LÄN</t>
        </is>
      </c>
      <c r="G462" t="inlineStr">
        <is>
          <t>ÄLMHULT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45010</v>
      </c>
      <c r="E463" s="1" t="n">
        <v>46261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45539</v>
      </c>
      <c r="E464" s="1" t="n">
        <v>46261</v>
      </c>
      <c r="F464" t="inlineStr">
        <is>
          <t>KRONOBERGS LÄN</t>
        </is>
      </c>
      <c r="G464" t="inlineStr">
        <is>
          <t>ÄLMHULT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45355</v>
      </c>
      <c r="E465" s="1" t="n">
        <v>46261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45720</v>
      </c>
      <c r="E466" s="1" t="n">
        <v>46261</v>
      </c>
      <c r="F466" t="inlineStr">
        <is>
          <t>KRONOBERGS LÄN</t>
        </is>
      </c>
      <c r="G466" t="inlineStr">
        <is>
          <t>ÄLMHULT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25311-2024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45462</v>
      </c>
      <c r="E467" s="1" t="n">
        <v>46261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46261</v>
      </c>
      <c r="F468" t="inlineStr">
        <is>
          <t>KRONOBERGS LÄN</t>
        </is>
      </c>
      <c r="G468" t="inlineStr">
        <is>
          <t>ÄLMHULT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45706</v>
      </c>
      <c r="E469" s="1" t="n">
        <v>46261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45282</v>
      </c>
      <c r="E470" s="1" t="n">
        <v>46261</v>
      </c>
      <c r="F470" t="inlineStr">
        <is>
          <t>KRONOBERGS LÄN</t>
        </is>
      </c>
      <c r="G470" t="inlineStr">
        <is>
          <t>ÄLMHULT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18440-2022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44686</v>
      </c>
      <c r="E471" s="1" t="n">
        <v>46261</v>
      </c>
      <c r="F471" t="inlineStr">
        <is>
          <t>KRONOBERGS LÄN</t>
        </is>
      </c>
      <c r="G471" t="inlineStr">
        <is>
          <t>ÄLMHULT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7882-2024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45350</v>
      </c>
      <c r="E472" s="1" t="n">
        <v>46261</v>
      </c>
      <c r="F472" t="inlineStr">
        <is>
          <t>KRONOBERGS LÄN</t>
        </is>
      </c>
      <c r="G472" t="inlineStr">
        <is>
          <t>ÄLMHULT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54105-2024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46261</v>
      </c>
      <c r="F473" t="inlineStr">
        <is>
          <t>KRONOBERGS LÄN</t>
        </is>
      </c>
      <c r="G473" t="inlineStr">
        <is>
          <t>ÄLMHULT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44636</v>
      </c>
      <c r="E474" s="1" t="n">
        <v>46261</v>
      </c>
      <c r="F474" t="inlineStr">
        <is>
          <t>KRONOBERGS LÄN</t>
        </is>
      </c>
      <c r="G474" t="inlineStr">
        <is>
          <t>ÄLMHULT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46472-2023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46261</v>
      </c>
      <c r="F475" t="inlineStr">
        <is>
          <t>KRONOBERGS LÄN</t>
        </is>
      </c>
      <c r="G475" t="inlineStr">
        <is>
          <t>ÄLMHULT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45716</v>
      </c>
      <c r="E476" s="1" t="n">
        <v>46261</v>
      </c>
      <c r="F476" t="inlineStr">
        <is>
          <t>KRONOBERGS LÄN</t>
        </is>
      </c>
      <c r="G476" t="inlineStr">
        <is>
          <t>ÄLMHULT</t>
        </is>
      </c>
      <c r="H476" t="inlineStr">
        <is>
          <t>Sveaskog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69454-2021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44531</v>
      </c>
      <c r="E477" s="1" t="n">
        <v>46261</v>
      </c>
      <c r="F477" t="inlineStr">
        <is>
          <t>KRONOBERGS LÄN</t>
        </is>
      </c>
      <c r="G477" t="inlineStr">
        <is>
          <t>ÄLMHULT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44587</v>
      </c>
      <c r="E478" s="1" t="n">
        <v>46261</v>
      </c>
      <c r="F478" t="inlineStr">
        <is>
          <t>KRONOBERGS LÄN</t>
        </is>
      </c>
      <c r="G478" t="inlineStr">
        <is>
          <t>ÄLMHULT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21201-2023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45062</v>
      </c>
      <c r="E479" s="1" t="n">
        <v>46261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45677</v>
      </c>
      <c r="E480" s="1" t="n">
        <v>46261</v>
      </c>
      <c r="F480" t="inlineStr">
        <is>
          <t>KRONOBERGS LÄN</t>
        </is>
      </c>
      <c r="G480" t="inlineStr">
        <is>
          <t>ÄLMHULT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51764-2023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45222</v>
      </c>
      <c r="E481" s="1" t="n">
        <v>46261</v>
      </c>
      <c r="F481" t="inlineStr">
        <is>
          <t>KRONOBERGS LÄN</t>
        </is>
      </c>
      <c r="G481" t="inlineStr">
        <is>
          <t>ÄLMHULT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44592</v>
      </c>
      <c r="E482" s="1" t="n">
        <v>46261</v>
      </c>
      <c r="F482" t="inlineStr">
        <is>
          <t>KRONOBERGS LÄN</t>
        </is>
      </c>
      <c r="G482" t="inlineStr">
        <is>
          <t>ÄLMHULT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45215</v>
      </c>
      <c r="E483" s="1" t="n">
        <v>46261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61970-2024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45653</v>
      </c>
      <c r="E484" s="1" t="n">
        <v>46261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44859</v>
      </c>
      <c r="E485" s="1" t="n">
        <v>46261</v>
      </c>
      <c r="F485" t="inlineStr">
        <is>
          <t>KRONOBERGS LÄN</t>
        </is>
      </c>
      <c r="G485" t="inlineStr">
        <is>
          <t>ÄLMHULT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11782-2022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44634</v>
      </c>
      <c r="E486" s="1" t="n">
        <v>46261</v>
      </c>
      <c r="F486" t="inlineStr">
        <is>
          <t>KRONOBERGS LÄN</t>
        </is>
      </c>
      <c r="G486" t="inlineStr">
        <is>
          <t>ÄLMHULT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49292-2022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44861</v>
      </c>
      <c r="E487" s="1" t="n">
        <v>46261</v>
      </c>
      <c r="F487" t="inlineStr">
        <is>
          <t>KRONOBERGS LÄN</t>
        </is>
      </c>
      <c r="G487" t="inlineStr">
        <is>
          <t>ÄLMHULT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56660-2024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45625</v>
      </c>
      <c r="E488" s="1" t="n">
        <v>46261</v>
      </c>
      <c r="F488" t="inlineStr">
        <is>
          <t>KRONOBERGS LÄN</t>
        </is>
      </c>
      <c r="G488" t="inlineStr">
        <is>
          <t>ÄLMHULT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46261</v>
      </c>
      <c r="F489" t="inlineStr">
        <is>
          <t>KRONOBERGS LÄN</t>
        </is>
      </c>
      <c r="G489" t="inlineStr">
        <is>
          <t>ÄLMHULT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46261</v>
      </c>
      <c r="F490" t="inlineStr">
        <is>
          <t>KRONOBERGS LÄN</t>
        </is>
      </c>
      <c r="G490" t="inlineStr">
        <is>
          <t>ÄLMHULT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45771</v>
      </c>
      <c r="E491" s="1" t="n">
        <v>46261</v>
      </c>
      <c r="F491" t="inlineStr">
        <is>
          <t>KRONOBERGS LÄN</t>
        </is>
      </c>
      <c r="G491" t="inlineStr">
        <is>
          <t>ÄLMHULT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46261</v>
      </c>
      <c r="F492" t="inlineStr">
        <is>
          <t>KRONOBERGS LÄN</t>
        </is>
      </c>
      <c r="G492" t="inlineStr">
        <is>
          <t>ÄLMHULT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46261</v>
      </c>
      <c r="F493" t="inlineStr">
        <is>
          <t>KRONOBERGS LÄN</t>
        </is>
      </c>
      <c r="G493" t="inlineStr">
        <is>
          <t>ÄLMHULT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45460</v>
      </c>
      <c r="E494" s="1" t="n">
        <v>46261</v>
      </c>
      <c r="F494" t="inlineStr">
        <is>
          <t>KRONOBERGS LÄN</t>
        </is>
      </c>
      <c r="G494" t="inlineStr">
        <is>
          <t>ÄLMHULT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45693</v>
      </c>
      <c r="E495" s="1" t="n">
        <v>46261</v>
      </c>
      <c r="F495" t="inlineStr">
        <is>
          <t>KRONOBERGS LÄN</t>
        </is>
      </c>
      <c r="G495" t="inlineStr">
        <is>
          <t>ÄLMHULT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45698</v>
      </c>
      <c r="E496" s="1" t="n">
        <v>46261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45202</v>
      </c>
      <c r="E497" s="1" t="n">
        <v>46261</v>
      </c>
      <c r="F497" t="inlineStr">
        <is>
          <t>KRONOBERGS LÄN</t>
        </is>
      </c>
      <c r="G497" t="inlineStr">
        <is>
          <t>ÄLMHULT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45180</v>
      </c>
      <c r="E498" s="1" t="n">
        <v>46261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49564-2023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45211</v>
      </c>
      <c r="E499" s="1" t="n">
        <v>46261</v>
      </c>
      <c r="F499" t="inlineStr">
        <is>
          <t>KRONOBERGS LÄN</t>
        </is>
      </c>
      <c r="G499" t="inlineStr">
        <is>
          <t>ÄLMHULT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45214</v>
      </c>
      <c r="E500" s="1" t="n">
        <v>46261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41566-2023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46261</v>
      </c>
      <c r="F501" t="inlineStr">
        <is>
          <t>KRONOBERGS LÄN</t>
        </is>
      </c>
      <c r="G501" t="inlineStr">
        <is>
          <t>ÄLMHULT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41577-2023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45175</v>
      </c>
      <c r="E502" s="1" t="n">
        <v>46261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43827-2023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46261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45681</v>
      </c>
      <c r="E504" s="1" t="n">
        <v>46261</v>
      </c>
      <c r="F504" t="inlineStr">
        <is>
          <t>KRONOBERGS LÄN</t>
        </is>
      </c>
      <c r="G504" t="inlineStr">
        <is>
          <t>ÄLMHULT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54363-2023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45233</v>
      </c>
      <c r="E505" s="1" t="n">
        <v>46261</v>
      </c>
      <c r="F505" t="inlineStr">
        <is>
          <t>KRONOBERGS LÄN</t>
        </is>
      </c>
      <c r="G505" t="inlineStr">
        <is>
          <t>ÄLMHULT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54364-2023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45233</v>
      </c>
      <c r="E506" s="1" t="n">
        <v>46261</v>
      </c>
      <c r="F506" t="inlineStr">
        <is>
          <t>KRONOBERGS LÄN</t>
        </is>
      </c>
      <c r="G506" t="inlineStr">
        <is>
          <t>ÄLMHULT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53201-2024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45612</v>
      </c>
      <c r="E507" s="1" t="n">
        <v>46261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45770</v>
      </c>
      <c r="E508" s="1" t="n">
        <v>46261</v>
      </c>
      <c r="F508" t="inlineStr">
        <is>
          <t>KRONOBERGS LÄN</t>
        </is>
      </c>
      <c r="G508" t="inlineStr">
        <is>
          <t>ÄLMHULT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46261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45679</v>
      </c>
      <c r="E510" s="1" t="n">
        <v>46261</v>
      </c>
      <c r="F510" t="inlineStr">
        <is>
          <t>KRONOBERGS LÄN</t>
        </is>
      </c>
      <c r="G510" t="inlineStr">
        <is>
          <t>ÄLMHULT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45531</v>
      </c>
      <c r="E511" s="1" t="n">
        <v>46261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45352</v>
      </c>
      <c r="E512" s="1" t="n">
        <v>46261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45250</v>
      </c>
      <c r="E513" s="1" t="n">
        <v>46261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46261</v>
      </c>
      <c r="F514" t="inlineStr">
        <is>
          <t>KRONOBERGS LÄN</t>
        </is>
      </c>
      <c r="G514" t="inlineStr">
        <is>
          <t>ÄLMHULT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45253</v>
      </c>
      <c r="E515" s="1" t="n">
        <v>46261</v>
      </c>
      <c r="F515" t="inlineStr">
        <is>
          <t>KRONOBERGS LÄN</t>
        </is>
      </c>
      <c r="G515" t="inlineStr">
        <is>
          <t>ÄLMHULT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45421</v>
      </c>
      <c r="E516" s="1" t="n">
        <v>46261</v>
      </c>
      <c r="F516" t="inlineStr">
        <is>
          <t>KRONOBERGS LÄN</t>
        </is>
      </c>
      <c r="G516" t="inlineStr">
        <is>
          <t>ÄLMHULT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46261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24808-2023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45084</v>
      </c>
      <c r="E518" s="1" t="n">
        <v>46261</v>
      </c>
      <c r="F518" t="inlineStr">
        <is>
          <t>KRONOBERGS LÄN</t>
        </is>
      </c>
      <c r="G518" t="inlineStr">
        <is>
          <t>ÄLMHULT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60690-2021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44496</v>
      </c>
      <c r="E519" s="1" t="n">
        <v>46261</v>
      </c>
      <c r="F519" t="inlineStr">
        <is>
          <t>KRONOBERGS LÄN</t>
        </is>
      </c>
      <c r="G519" t="inlineStr">
        <is>
          <t>ÄLMHULT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19704-2023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46261</v>
      </c>
      <c r="F520" t="inlineStr">
        <is>
          <t>KRONOBERGS LÄN</t>
        </is>
      </c>
      <c r="G520" t="inlineStr">
        <is>
          <t>ÄLMHULT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45268</v>
      </c>
      <c r="E521" s="1" t="n">
        <v>46261</v>
      </c>
      <c r="F521" t="inlineStr">
        <is>
          <t>KRONOBERGS LÄN</t>
        </is>
      </c>
      <c r="G521" t="inlineStr">
        <is>
          <t>ÄLMHULT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45469</v>
      </c>
      <c r="E522" s="1" t="n">
        <v>46261</v>
      </c>
      <c r="F522" t="inlineStr">
        <is>
          <t>KRONOBERGS LÄN</t>
        </is>
      </c>
      <c r="G522" t="inlineStr">
        <is>
          <t>ÄLMHULT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41485-2023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46261</v>
      </c>
      <c r="F523" t="inlineStr">
        <is>
          <t>KRONOBERGS LÄN</t>
        </is>
      </c>
      <c r="G523" t="inlineStr">
        <is>
          <t>ÄLMHULT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53053-2022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44876</v>
      </c>
      <c r="E524" s="1" t="n">
        <v>46261</v>
      </c>
      <c r="F524" t="inlineStr">
        <is>
          <t>KRONOBERGS LÄN</t>
        </is>
      </c>
      <c r="G524" t="inlineStr">
        <is>
          <t>ÄLMHULT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21241-2024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45440</v>
      </c>
      <c r="E525" s="1" t="n">
        <v>46261</v>
      </c>
      <c r="F525" t="inlineStr">
        <is>
          <t>KRONOBERGS LÄN</t>
        </is>
      </c>
      <c r="G525" t="inlineStr">
        <is>
          <t>ÄLMHULT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62120-2022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44921</v>
      </c>
      <c r="E526" s="1" t="n">
        <v>46261</v>
      </c>
      <c r="F526" t="inlineStr">
        <is>
          <t>KRONOBERGS LÄN</t>
        </is>
      </c>
      <c r="G526" t="inlineStr">
        <is>
          <t>ÄLMHULT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12947-2025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46261</v>
      </c>
      <c r="F527" t="inlineStr">
        <is>
          <t>KRONOBERGS LÄN</t>
        </is>
      </c>
      <c r="G527" t="inlineStr">
        <is>
          <t>ÄLMHULT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52175-2024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45608</v>
      </c>
      <c r="E528" s="1" t="n">
        <v>46261</v>
      </c>
      <c r="F528" t="inlineStr">
        <is>
          <t>KRONOBERGS LÄN</t>
        </is>
      </c>
      <c r="G528" t="inlineStr">
        <is>
          <t>ÄLMHULT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46261</v>
      </c>
      <c r="F529" t="inlineStr">
        <is>
          <t>KRONOBERGS LÄN</t>
        </is>
      </c>
      <c r="G529" t="inlineStr">
        <is>
          <t>ÄLMHULT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44621</v>
      </c>
      <c r="E530" s="1" t="n">
        <v>46261</v>
      </c>
      <c r="F530" t="inlineStr">
        <is>
          <t>KRONOBERGS LÄN</t>
        </is>
      </c>
      <c r="G530" t="inlineStr">
        <is>
          <t>ÄLMHULT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48331-2022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44858</v>
      </c>
      <c r="E531" s="1" t="n">
        <v>46261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46261</v>
      </c>
      <c r="F532" t="inlineStr">
        <is>
          <t>KRONOBERGS LÄN</t>
        </is>
      </c>
      <c r="G532" t="inlineStr">
        <is>
          <t>ÄLMHULT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45412</v>
      </c>
      <c r="E533" s="1" t="n">
        <v>46261</v>
      </c>
      <c r="F533" t="inlineStr">
        <is>
          <t>KRONOBERGS LÄN</t>
        </is>
      </c>
      <c r="G533" t="inlineStr">
        <is>
          <t>ÄLMHULT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45414</v>
      </c>
      <c r="E534" s="1" t="n">
        <v>46261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46261</v>
      </c>
      <c r="F535" t="inlineStr">
        <is>
          <t>KRONOBERGS LÄN</t>
        </is>
      </c>
      <c r="G535" t="inlineStr">
        <is>
          <t>ÄLMHULT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8329-2022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44610</v>
      </c>
      <c r="E536" s="1" t="n">
        <v>46261</v>
      </c>
      <c r="F536" t="inlineStr">
        <is>
          <t>KRONOBERGS LÄN</t>
        </is>
      </c>
      <c r="G536" t="inlineStr">
        <is>
          <t>ÄLMHULT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44992</v>
      </c>
      <c r="E537" s="1" t="n">
        <v>46261</v>
      </c>
      <c r="F537" t="inlineStr">
        <is>
          <t>KRONOBERGS LÄN</t>
        </is>
      </c>
      <c r="G537" t="inlineStr">
        <is>
          <t>ÄLMHULT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45069-2024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45575</v>
      </c>
      <c r="E538" s="1" t="n">
        <v>46261</v>
      </c>
      <c r="F538" t="inlineStr">
        <is>
          <t>KRONOBERGS LÄN</t>
        </is>
      </c>
      <c r="G538" t="inlineStr">
        <is>
          <t>ÄLMHULT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44942</v>
      </c>
      <c r="E539" s="1" t="n">
        <v>46261</v>
      </c>
      <c r="F539" t="inlineStr">
        <is>
          <t>KRONOBERGS LÄN</t>
        </is>
      </c>
      <c r="G539" t="inlineStr">
        <is>
          <t>ÄLMHULT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45085</v>
      </c>
      <c r="E540" s="1" t="n">
        <v>46261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44942</v>
      </c>
      <c r="E541" s="1" t="n">
        <v>46261</v>
      </c>
      <c r="F541" t="inlineStr">
        <is>
          <t>KRONOBERGS LÄN</t>
        </is>
      </c>
      <c r="G541" t="inlineStr">
        <is>
          <t>ÄLMHULT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49112-2022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44860</v>
      </c>
      <c r="E542" s="1" t="n">
        <v>46261</v>
      </c>
      <c r="F542" t="inlineStr">
        <is>
          <t>KRONOBERGS LÄN</t>
        </is>
      </c>
      <c r="G542" t="inlineStr">
        <is>
          <t>ÄLMHULT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46261</v>
      </c>
      <c r="F543" t="inlineStr">
        <is>
          <t>KRONOBERGS LÄN</t>
        </is>
      </c>
      <c r="G543" t="inlineStr">
        <is>
          <t>ÄLMHULT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65247-2023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45290</v>
      </c>
      <c r="E544" s="1" t="n">
        <v>46261</v>
      </c>
      <c r="F544" t="inlineStr">
        <is>
          <t>KRONOBERGS LÄN</t>
        </is>
      </c>
      <c r="G544" t="inlineStr">
        <is>
          <t>ÄLMHULT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52332-2024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45609</v>
      </c>
      <c r="E545" s="1" t="n">
        <v>46261</v>
      </c>
      <c r="F545" t="inlineStr">
        <is>
          <t>KRONOBERGS LÄN</t>
        </is>
      </c>
      <c r="G545" t="inlineStr">
        <is>
          <t>ÄLMHULT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50541-2023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45217</v>
      </c>
      <c r="E546" s="1" t="n">
        <v>46261</v>
      </c>
      <c r="F546" t="inlineStr">
        <is>
          <t>KRONOBERGS LÄN</t>
        </is>
      </c>
      <c r="G546" t="inlineStr">
        <is>
          <t>ÄLMHULT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46261</v>
      </c>
      <c r="F547" t="inlineStr">
        <is>
          <t>KRONOBERGS LÄN</t>
        </is>
      </c>
      <c r="G547" t="inlineStr">
        <is>
          <t>ÄLMHULT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30494-2023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46261</v>
      </c>
      <c r="F548" t="inlineStr">
        <is>
          <t>KRONOBERGS LÄN</t>
        </is>
      </c>
      <c r="G548" t="inlineStr">
        <is>
          <t>ÄLMHULT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68189-2021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44526</v>
      </c>
      <c r="E549" s="1" t="n">
        <v>46261</v>
      </c>
      <c r="F549" t="inlineStr">
        <is>
          <t>KRONOBERGS LÄN</t>
        </is>
      </c>
      <c r="G549" t="inlineStr">
        <is>
          <t>ÄLMHULT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45141</v>
      </c>
      <c r="E550" s="1" t="n">
        <v>46261</v>
      </c>
      <c r="F550" t="inlineStr">
        <is>
          <t>KRONOBERGS LÄN</t>
        </is>
      </c>
      <c r="G550" t="inlineStr">
        <is>
          <t>ÄLMHULT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9353-2024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45359</v>
      </c>
      <c r="E551" s="1" t="n">
        <v>46261</v>
      </c>
      <c r="F551" t="inlineStr">
        <is>
          <t>KRONOBERGS LÄN</t>
        </is>
      </c>
      <c r="G551" t="inlineStr">
        <is>
          <t>ÄLMHULT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14425-2023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45012</v>
      </c>
      <c r="E552" s="1" t="n">
        <v>46261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18575-2022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44687</v>
      </c>
      <c r="E553" s="1" t="n">
        <v>46261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45081</v>
      </c>
      <c r="E554" s="1" t="n">
        <v>46261</v>
      </c>
      <c r="F554" t="inlineStr">
        <is>
          <t>KRONOBERGS LÄN</t>
        </is>
      </c>
      <c r="G554" t="inlineStr">
        <is>
          <t>ÄLMHULT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45068</v>
      </c>
      <c r="E555" s="1" t="n">
        <v>46261</v>
      </c>
      <c r="F555" t="inlineStr">
        <is>
          <t>KRONOBERGS LÄN</t>
        </is>
      </c>
      <c r="G555" t="inlineStr">
        <is>
          <t>ÄLMHULT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14282-2023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45010</v>
      </c>
      <c r="E556" s="1" t="n">
        <v>46261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45048</v>
      </c>
      <c r="E557" s="1" t="n">
        <v>46261</v>
      </c>
      <c r="F557" t="inlineStr">
        <is>
          <t>KRONOBERGS LÄN</t>
        </is>
      </c>
      <c r="G557" t="inlineStr">
        <is>
          <t>ÄLMHULT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42014-2023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45177</v>
      </c>
      <c r="E558" s="1" t="n">
        <v>46261</v>
      </c>
      <c r="F558" t="inlineStr">
        <is>
          <t>KRONOBERGS LÄN</t>
        </is>
      </c>
      <c r="G558" t="inlineStr">
        <is>
          <t>ÄLMHULT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45042</v>
      </c>
      <c r="E559" s="1" t="n">
        <v>46261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63115-2023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45273</v>
      </c>
      <c r="E560" s="1" t="n">
        <v>46261</v>
      </c>
      <c r="F560" t="inlineStr">
        <is>
          <t>KRONOBERGS LÄN</t>
        </is>
      </c>
      <c r="G560" t="inlineStr">
        <is>
          <t>ÄLMHULT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13801-2024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45391</v>
      </c>
      <c r="E561" s="1" t="n">
        <v>46261</v>
      </c>
      <c r="F561" t="inlineStr">
        <is>
          <t>KRONOBERGS LÄN</t>
        </is>
      </c>
      <c r="G561" t="inlineStr">
        <is>
          <t>ÄLMHULT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33944-2023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45134</v>
      </c>
      <c r="E562" s="1" t="n">
        <v>46261</v>
      </c>
      <c r="F562" t="inlineStr">
        <is>
          <t>KRONOBERGS LÄN</t>
        </is>
      </c>
      <c r="G562" t="inlineStr">
        <is>
          <t>ÄLMHULT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44743</v>
      </c>
      <c r="E563" s="1" t="n">
        <v>46261</v>
      </c>
      <c r="F563" t="inlineStr">
        <is>
          <t>KRONOBERGS LÄN</t>
        </is>
      </c>
      <c r="G563" t="inlineStr">
        <is>
          <t>ÄLMHULT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46261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8434-2023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44977</v>
      </c>
      <c r="E565" s="1" t="n">
        <v>46261</v>
      </c>
      <c r="F565" t="inlineStr">
        <is>
          <t>KRONOBERGS LÄN</t>
        </is>
      </c>
      <c r="G565" t="inlineStr">
        <is>
          <t>ÄLMHULT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11594-2024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46261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11597-2024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46261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56955-2024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45628</v>
      </c>
      <c r="E568" s="1" t="n">
        <v>46261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45311</v>
      </c>
      <c r="E569" s="1" t="n">
        <v>46261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45061</v>
      </c>
      <c r="E570" s="1" t="n">
        <v>46261</v>
      </c>
      <c r="F570" t="inlineStr">
        <is>
          <t>KRONOBERGS LÄN</t>
        </is>
      </c>
      <c r="G570" t="inlineStr">
        <is>
          <t>ÄLMHULT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46261</v>
      </c>
      <c r="F571" t="inlineStr">
        <is>
          <t>KRONOBERGS LÄN</t>
        </is>
      </c>
      <c r="G571" t="inlineStr">
        <is>
          <t>ÄLMHULT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45638</v>
      </c>
      <c r="E572" s="1" t="n">
        <v>46261</v>
      </c>
      <c r="F572" t="inlineStr">
        <is>
          <t>KRONOBERGS LÄN</t>
        </is>
      </c>
      <c r="G572" t="inlineStr">
        <is>
          <t>ÄLMHULT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45090</v>
      </c>
      <c r="E573" s="1" t="n">
        <v>46261</v>
      </c>
      <c r="F573" t="inlineStr">
        <is>
          <t>KRONOBERGS LÄN</t>
        </is>
      </c>
      <c r="G573" t="inlineStr">
        <is>
          <t>ÄLMHULT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53203-2024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45612</v>
      </c>
      <c r="E574" s="1" t="n">
        <v>46261</v>
      </c>
      <c r="F574" t="inlineStr">
        <is>
          <t>KRONOBERGS LÄN</t>
        </is>
      </c>
      <c r="G574" t="inlineStr">
        <is>
          <t>ÄLMHULT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45051</v>
      </c>
      <c r="E575" s="1" t="n">
        <v>46261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44942</v>
      </c>
      <c r="E576" s="1" t="n">
        <v>46261</v>
      </c>
      <c r="F576" t="inlineStr">
        <is>
          <t>KRONOBERGS LÄN</t>
        </is>
      </c>
      <c r="G576" t="inlineStr">
        <is>
          <t>ÄLMHULT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6648-2025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45700</v>
      </c>
      <c r="E577" s="1" t="n">
        <v>46261</v>
      </c>
      <c r="F577" t="inlineStr">
        <is>
          <t>KRONOBERGS LÄN</t>
        </is>
      </c>
      <c r="G577" t="inlineStr">
        <is>
          <t>ÄLMHULT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46261</v>
      </c>
      <c r="F578" t="inlineStr">
        <is>
          <t>KRONOBERGS LÄN</t>
        </is>
      </c>
      <c r="G578" t="inlineStr">
        <is>
          <t>ÄLMHULT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45303</v>
      </c>
      <c r="E579" s="1" t="n">
        <v>46261</v>
      </c>
      <c r="F579" t="inlineStr">
        <is>
          <t>KRONOBERGS LÄN</t>
        </is>
      </c>
      <c r="G579" t="inlineStr">
        <is>
          <t>ÄLMHULT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49562-2023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46261</v>
      </c>
      <c r="F580" t="inlineStr">
        <is>
          <t>KRONOBERGS LÄN</t>
        </is>
      </c>
      <c r="G580" t="inlineStr">
        <is>
          <t>ÄLMHULT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45010</v>
      </c>
      <c r="E581" s="1" t="n">
        <v>46261</v>
      </c>
      <c r="F581" t="inlineStr">
        <is>
          <t>KRONOBERGS LÄN</t>
        </is>
      </c>
      <c r="G581" t="inlineStr">
        <is>
          <t>ÄLMHULT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7968-2025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45707</v>
      </c>
      <c r="E582" s="1" t="n">
        <v>46261</v>
      </c>
      <c r="F582" t="inlineStr">
        <is>
          <t>KRONOBERGS LÄN</t>
        </is>
      </c>
      <c r="G582" t="inlineStr">
        <is>
          <t>ÄLMHULT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49442-2024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46261</v>
      </c>
      <c r="F583" t="inlineStr">
        <is>
          <t>KRONOBERGS LÄN</t>
        </is>
      </c>
      <c r="G583" t="inlineStr">
        <is>
          <t>ÄLMHULT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45271</v>
      </c>
      <c r="E584" s="1" t="n">
        <v>46261</v>
      </c>
      <c r="F584" t="inlineStr">
        <is>
          <t>KRONOBERGS LÄN</t>
        </is>
      </c>
      <c r="G584" t="inlineStr">
        <is>
          <t>ÄLMHULT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38812-2024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45547</v>
      </c>
      <c r="E585" s="1" t="n">
        <v>46261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46261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53113-2023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45228</v>
      </c>
      <c r="E587" s="1" t="n">
        <v>46261</v>
      </c>
      <c r="F587" t="inlineStr">
        <is>
          <t>KRONOBERGS LÄN</t>
        </is>
      </c>
      <c r="G587" t="inlineStr">
        <is>
          <t>ÄLMHULT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58831-2023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46261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44922</v>
      </c>
      <c r="E589" s="1" t="n">
        <v>46261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45680</v>
      </c>
      <c r="E590" s="1" t="n">
        <v>46261</v>
      </c>
      <c r="F590" t="inlineStr">
        <is>
          <t>KRONOBERGS LÄN</t>
        </is>
      </c>
      <c r="G590" t="inlineStr">
        <is>
          <t>ÄLMHULT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46261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45303</v>
      </c>
      <c r="E592" s="1" t="n">
        <v>46261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46261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48156-2024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45589</v>
      </c>
      <c r="E594" s="1" t="n">
        <v>46261</v>
      </c>
      <c r="F594" t="inlineStr">
        <is>
          <t>KRONOBERGS LÄN</t>
        </is>
      </c>
      <c r="G594" t="inlineStr">
        <is>
          <t>ÄLMHULT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46261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31872-2022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44777</v>
      </c>
      <c r="E596" s="1" t="n">
        <v>46261</v>
      </c>
      <c r="F596" t="inlineStr">
        <is>
          <t>KRONOBERGS LÄN</t>
        </is>
      </c>
      <c r="G596" t="inlineStr">
        <is>
          <t>ÄLMHULT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61968-2024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45653</v>
      </c>
      <c r="E597" s="1" t="n">
        <v>46261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45706</v>
      </c>
      <c r="E598" s="1" t="n">
        <v>46261</v>
      </c>
      <c r="F598" t="inlineStr">
        <is>
          <t>KRONOBERGS LÄN</t>
        </is>
      </c>
      <c r="G598" t="inlineStr">
        <is>
          <t>ÄLMHULT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45443</v>
      </c>
      <c r="E599" s="1" t="n">
        <v>46261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13113-2025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45734</v>
      </c>
      <c r="E600" s="1" t="n">
        <v>46261</v>
      </c>
      <c r="F600" t="inlineStr">
        <is>
          <t>KRONOBERGS LÄN</t>
        </is>
      </c>
      <c r="G600" t="inlineStr">
        <is>
          <t>ÄLMHULT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62122-2022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44921</v>
      </c>
      <c r="E601" s="1" t="n">
        <v>46261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45378</v>
      </c>
      <c r="E602" s="1" t="n">
        <v>46261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39022-2022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44817</v>
      </c>
      <c r="E603" s="1" t="n">
        <v>46261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45759</v>
      </c>
      <c r="E604" s="1" t="n">
        <v>46261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45314</v>
      </c>
      <c r="E605" s="1" t="n">
        <v>46261</v>
      </c>
      <c r="F605" t="inlineStr">
        <is>
          <t>KRONOBERGS LÄN</t>
        </is>
      </c>
      <c r="G605" t="inlineStr">
        <is>
          <t>ÄLMHULT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48159-2024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45589</v>
      </c>
      <c r="E606" s="1" t="n">
        <v>46261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43140-2024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45567</v>
      </c>
      <c r="E607" s="1" t="n">
        <v>46261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45315</v>
      </c>
      <c r="E608" s="1" t="n">
        <v>46261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44928</v>
      </c>
      <c r="E609" s="1" t="n">
        <v>46261</v>
      </c>
      <c r="F609" t="inlineStr">
        <is>
          <t>KRONOBERGS LÄN</t>
        </is>
      </c>
      <c r="G609" t="inlineStr">
        <is>
          <t>ÄLMHULT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48937-2023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45209</v>
      </c>
      <c r="E610" s="1" t="n">
        <v>46261</v>
      </c>
      <c r="F610" t="inlineStr">
        <is>
          <t>KRONOBERGS LÄN</t>
        </is>
      </c>
      <c r="G610" t="inlineStr">
        <is>
          <t>ÄLMHULT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45680</v>
      </c>
      <c r="E611" s="1" t="n">
        <v>46261</v>
      </c>
      <c r="F611" t="inlineStr">
        <is>
          <t>KRONOBERGS LÄN</t>
        </is>
      </c>
      <c r="G611" t="inlineStr">
        <is>
          <t>ÄLMHULT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45663</v>
      </c>
      <c r="E612" s="1" t="n">
        <v>46261</v>
      </c>
      <c r="F612" t="inlineStr">
        <is>
          <t>KRONOBERGS LÄN</t>
        </is>
      </c>
      <c r="G612" t="inlineStr">
        <is>
          <t>ÄLMHULT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46261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21306-2025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45781</v>
      </c>
      <c r="E614" s="1" t="n">
        <v>46261</v>
      </c>
      <c r="F614" t="inlineStr">
        <is>
          <t>KRONOBERGS LÄN</t>
        </is>
      </c>
      <c r="G614" t="inlineStr">
        <is>
          <t>ÄLMHULT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46261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45638</v>
      </c>
      <c r="E616" s="1" t="n">
        <v>46261</v>
      </c>
      <c r="F616" t="inlineStr">
        <is>
          <t>KRONOBERGS LÄN</t>
        </is>
      </c>
      <c r="G616" t="inlineStr">
        <is>
          <t>ÄLMHULT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46261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34848-2024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45527</v>
      </c>
      <c r="E618" s="1" t="n">
        <v>46261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46261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46261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46261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46261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46261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46261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6219-2021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44447</v>
      </c>
      <c r="E625" s="1" t="n">
        <v>46261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7500-2021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44474</v>
      </c>
      <c r="E626" s="1" t="n">
        <v>46261</v>
      </c>
      <c r="F626" t="inlineStr">
        <is>
          <t>KRONOBERGS LÄN</t>
        </is>
      </c>
      <c r="G626" t="inlineStr">
        <is>
          <t>ÄLMHULT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46261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46261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46261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46261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46261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46261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46261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46261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46261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46261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46261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46261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2141-2026</t>
        </is>
      </c>
      <c r="B639" t="inlineStr">
        <is>
          <t>samrådsanmälan</t>
        </is>
      </c>
      <c r="C639" t="inlineStr">
        <is>
          <t>Skogsbilväg</t>
        </is>
      </c>
      <c r="D639" s="1" t="n">
        <v>46182</v>
      </c>
      <c r="E639" s="1" t="n">
        <v>46261</v>
      </c>
      <c r="F639" t="inlineStr">
        <is>
          <t>KRONOBERGS LÄN</t>
        </is>
      </c>
      <c r="G639" t="inlineStr">
        <is>
          <t>ÄLMHULT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2026-08-27T01:55:30Z</dcterms:created>
  <dcterms:modified xmlns:dcterms="http://purl.org/dc/terms/" xmlns:xsi="http://www.w3.org/2001/XMLSchema-instance" xsi:type="dcterms:W3CDTF">2026-08-27T01:55:31Z</dcterms:modified>
</cp:coreProperties>
</file>