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45839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18746-2025</t>
        </is>
      </c>
      <c r="B8" s="1" t="n">
        <v>45763</v>
      </c>
      <c r="C8" s="1" t="n">
        <v>45839</v>
      </c>
      <c r="D8" t="inlineStr">
        <is>
          <t>KRONOBERGS LÄN</t>
        </is>
      </c>
      <c r="E8" t="inlineStr">
        <is>
          <t>ÄLMHULT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flatbagge</t>
        </is>
      </c>
      <c r="S8">
        <f>HYPERLINK("https://klasma.github.io/Logging_070765/artfynd/A 18746-2025 artfynd.xlsx", "A 18746-2025")</f>
        <v/>
      </c>
      <c r="T8">
        <f>HYPERLINK("https://klasma.github.io/Logging_070765/kartor/A 18746-2025 karta.png", "A 18746-2025")</f>
        <v/>
      </c>
      <c r="V8">
        <f>HYPERLINK("https://klasma.github.io/Logging_070765/klagomål/A 18746-2025 FSC-klagomål.docx", "A 18746-2025")</f>
        <v/>
      </c>
      <c r="W8">
        <f>HYPERLINK("https://klasma.github.io/Logging_070765/klagomålsmail/A 18746-2025 FSC-klagomål mail.docx", "A 18746-2025")</f>
        <v/>
      </c>
      <c r="X8">
        <f>HYPERLINK("https://klasma.github.io/Logging_070765/tillsyn/A 18746-2025 tillsynsbegäran.docx", "A 18746-2025")</f>
        <v/>
      </c>
      <c r="Y8">
        <f>HYPERLINK("https://klasma.github.io/Logging_070765/tillsynsmail/A 18746-2025 tillsynsbegäran mail.docx", "A 18746-2025")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45839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45839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45839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45839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45839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45839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45839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45839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45839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45839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7011-2024</t>
        </is>
      </c>
      <c r="B19" s="1" t="n">
        <v>45343</v>
      </c>
      <c r="C19" s="1" t="n">
        <v>45839</v>
      </c>
      <c r="D19" t="inlineStr">
        <is>
          <t>KRONOBERGS LÄN</t>
        </is>
      </c>
      <c r="E19" t="inlineStr">
        <is>
          <t>ÄLMHULT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HYPERLINK("https://klasma.github.io/Logging_0765/artfynd/A 7011-2024 artfynd.xlsx", "A 7011-2024")</f>
        <v/>
      </c>
      <c r="T19">
        <f>HYPERLINK("https://klasma.github.io/Logging_0765/kartor/A 7011-2024 karta.png", "A 7011-2024")</f>
        <v/>
      </c>
      <c r="V19">
        <f>HYPERLINK("https://klasma.github.io/Logging_0765/klagomål/A 7011-2024 FSC-klagomål.docx", "A 7011-2024")</f>
        <v/>
      </c>
      <c r="W19">
        <f>HYPERLINK("https://klasma.github.io/Logging_0765/klagomålsmail/A 7011-2024 FSC-klagomål mail.docx", "A 7011-2024")</f>
        <v/>
      </c>
      <c r="X19">
        <f>HYPERLINK("https://klasma.github.io/Logging_0765/tillsyn/A 7011-2024 tillsynsbegäran.docx", "A 7011-2024")</f>
        <v/>
      </c>
      <c r="Y19">
        <f>HYPERLINK("https://klasma.github.io/Logging_0765/tillsynsmail/A 7011-2024 tillsynsbegäran mail.docx", "A 7011-2024")</f>
        <v/>
      </c>
      <c r="Z19">
        <f>HYPERLINK("https://klasma.github.io/Logging_0765/fåglar/A 7011-2024 prioriterade fågelarter.docx", "A 7011-2024")</f>
        <v/>
      </c>
    </row>
    <row r="20" ht="15" customHeight="1">
      <c r="A20" t="inlineStr">
        <is>
          <t>A 18952-2024</t>
        </is>
      </c>
      <c r="B20" s="1" t="n">
        <v>45427</v>
      </c>
      <c r="C20" s="1" t="n">
        <v>45839</v>
      </c>
      <c r="D20" t="inlineStr">
        <is>
          <t>KRONOBERGS LÄN</t>
        </is>
      </c>
      <c r="E20" t="inlineStr">
        <is>
          <t>ÄLMHULT</t>
        </is>
      </c>
      <c r="G20" t="n">
        <v>4.5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Rapunkelklocka</t>
        </is>
      </c>
      <c r="S20">
        <f>HYPERLINK("https://klasma.github.io/Logging_0765/artfynd/A 18952-2024 artfynd.xlsx", "A 18952-2024")</f>
        <v/>
      </c>
      <c r="T20">
        <f>HYPERLINK("https://klasma.github.io/Logging_0765/kartor/A 18952-2024 karta.png", "A 18952-2024")</f>
        <v/>
      </c>
      <c r="V20">
        <f>HYPERLINK("https://klasma.github.io/Logging_0765/klagomål/A 18952-2024 FSC-klagomål.docx", "A 18952-2024")</f>
        <v/>
      </c>
      <c r="W20">
        <f>HYPERLINK("https://klasma.github.io/Logging_0765/klagomålsmail/A 18952-2024 FSC-klagomål mail.docx", "A 18952-2024")</f>
        <v/>
      </c>
      <c r="X20">
        <f>HYPERLINK("https://klasma.github.io/Logging_0765/tillsyn/A 18952-2024 tillsynsbegäran.docx", "A 18952-2024")</f>
        <v/>
      </c>
      <c r="Y20">
        <f>HYPERLINK("https://klasma.github.io/Logging_0765/tillsynsmail/A 18952-2024 tillsynsbegäran mail.docx", "A 18952-2024")</f>
        <v/>
      </c>
    </row>
    <row r="21" ht="15" customHeight="1">
      <c r="A21" t="inlineStr">
        <is>
          <t>A 26608-2024</t>
        </is>
      </c>
      <c r="B21" s="1" t="n">
        <v>45469</v>
      </c>
      <c r="C21" s="1" t="n">
        <v>45839</v>
      </c>
      <c r="D21" t="inlineStr">
        <is>
          <t>KRONOBERGS LÄN</t>
        </is>
      </c>
      <c r="E21" t="inlineStr">
        <is>
          <t>ÄLMHULT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HYPERLINK("https://klasma.github.io/Logging_0765/artfynd/A 26608-2024 artfynd.xlsx", "A 26608-2024")</f>
        <v/>
      </c>
      <c r="T21">
        <f>HYPERLINK("https://klasma.github.io/Logging_0765/kartor/A 26608-2024 karta.png", "A 26608-2024")</f>
        <v/>
      </c>
      <c r="V21">
        <f>HYPERLINK("https://klasma.github.io/Logging_0765/klagomål/A 26608-2024 FSC-klagomål.docx", "A 26608-2024")</f>
        <v/>
      </c>
      <c r="W21">
        <f>HYPERLINK("https://klasma.github.io/Logging_0765/klagomålsmail/A 26608-2024 FSC-klagomål mail.docx", "A 26608-2024")</f>
        <v/>
      </c>
      <c r="X21">
        <f>HYPERLINK("https://klasma.github.io/Logging_0765/tillsyn/A 26608-2024 tillsynsbegäran.docx", "A 26608-2024")</f>
        <v/>
      </c>
      <c r="Y21">
        <f>HYPERLINK("https://klasma.github.io/Logging_0765/tillsynsmail/A 26608-2024 tillsynsbegäran mail.docx", "A 26608-2024")</f>
        <v/>
      </c>
    </row>
    <row r="22" ht="15" customHeight="1">
      <c r="A22" t="inlineStr">
        <is>
          <t>A 58048-2024</t>
        </is>
      </c>
      <c r="B22" s="1" t="n">
        <v>45631</v>
      </c>
      <c r="C22" s="1" t="n">
        <v>45839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HYPERLINK("https://klasma.github.io/Logging_0765/artfynd/A 58048-2024 artfynd.xlsx", "A 58048-2024")</f>
        <v/>
      </c>
      <c r="T22">
        <f>HYPERLINK("https://klasma.github.io/Logging_0765/kartor/A 58048-2024 karta.png", "A 58048-2024")</f>
        <v/>
      </c>
      <c r="V22">
        <f>HYPERLINK("https://klasma.github.io/Logging_0765/klagomål/A 58048-2024 FSC-klagomål.docx", "A 58048-2024")</f>
        <v/>
      </c>
      <c r="W22">
        <f>HYPERLINK("https://klasma.github.io/Logging_0765/klagomålsmail/A 58048-2024 FSC-klagomål mail.docx", "A 58048-2024")</f>
        <v/>
      </c>
      <c r="X22">
        <f>HYPERLINK("https://klasma.github.io/Logging_0765/tillsyn/A 58048-2024 tillsynsbegäran.docx", "A 58048-2024")</f>
        <v/>
      </c>
      <c r="Y22">
        <f>HYPERLINK("https://klasma.github.io/Logging_0765/tillsynsmail/A 58048-2024 tillsynsbegäran mail.docx", "A 58048-2024")</f>
        <v/>
      </c>
    </row>
    <row r="23" ht="15" customHeight="1">
      <c r="A23" t="inlineStr">
        <is>
          <t>A 58359-2024</t>
        </is>
      </c>
      <c r="B23" s="1" t="n">
        <v>45632</v>
      </c>
      <c r="C23" s="1" t="n">
        <v>45839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HYPERLINK("https://klasma.github.io/Logging_0765/artfynd/A 58359-2024 artfynd.xlsx", "A 58359-2024")</f>
        <v/>
      </c>
      <c r="T23">
        <f>HYPERLINK("https://klasma.github.io/Logging_0765/kartor/A 58359-2024 karta.png", "A 58359-2024")</f>
        <v/>
      </c>
      <c r="V23">
        <f>HYPERLINK("https://klasma.github.io/Logging_0765/klagomål/A 58359-2024 FSC-klagomål.docx", "A 58359-2024")</f>
        <v/>
      </c>
      <c r="W23">
        <f>HYPERLINK("https://klasma.github.io/Logging_0765/klagomålsmail/A 58359-2024 FSC-klagomål mail.docx", "A 58359-2024")</f>
        <v/>
      </c>
      <c r="X23">
        <f>HYPERLINK("https://klasma.github.io/Logging_0765/tillsyn/A 58359-2024 tillsynsbegäran.docx", "A 58359-2024")</f>
        <v/>
      </c>
      <c r="Y23">
        <f>HYPERLINK("https://klasma.github.io/Logging_0765/tillsynsmail/A 58359-2024 tillsynsbegäran mail.docx", "A 58359-2024")</f>
        <v/>
      </c>
    </row>
    <row r="24" ht="15" customHeight="1">
      <c r="A24" t="inlineStr">
        <is>
          <t>A 792-2025</t>
        </is>
      </c>
      <c r="B24" s="1" t="n">
        <v>45665</v>
      </c>
      <c r="C24" s="1" t="n">
        <v>45839</v>
      </c>
      <c r="D24" t="inlineStr">
        <is>
          <t>KRONOBERGS LÄN</t>
        </is>
      </c>
      <c r="E24" t="inlineStr">
        <is>
          <t>ÄLMHULT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HYPERLINK("https://klasma.github.io/Logging_0765/artfynd/A 792-2025 artfynd.xlsx", "A 792-2025")</f>
        <v/>
      </c>
      <c r="T24">
        <f>HYPERLINK("https://klasma.github.io/Logging_0765/kartor/A 792-2025 karta.png", "A 792-2025")</f>
        <v/>
      </c>
      <c r="V24">
        <f>HYPERLINK("https://klasma.github.io/Logging_0765/klagomål/A 792-2025 FSC-klagomål.docx", "A 792-2025")</f>
        <v/>
      </c>
      <c r="W24">
        <f>HYPERLINK("https://klasma.github.io/Logging_0765/klagomålsmail/A 792-2025 FSC-klagomål mail.docx", "A 792-2025")</f>
        <v/>
      </c>
      <c r="X24">
        <f>HYPERLINK("https://klasma.github.io/Logging_0765/tillsyn/A 792-2025 tillsynsbegäran.docx", "A 792-2025")</f>
        <v/>
      </c>
      <c r="Y24">
        <f>HYPERLINK("https://klasma.github.io/Logging_0765/tillsynsmail/A 792-2025 tillsynsbegäran mail.docx", "A 792-2025")</f>
        <v/>
      </c>
    </row>
    <row r="25" ht="15" customHeight="1">
      <c r="A25" t="inlineStr">
        <is>
          <t>A 9876-2025</t>
        </is>
      </c>
      <c r="B25" s="1" t="n">
        <v>45716</v>
      </c>
      <c r="C25" s="1" t="n">
        <v>45839</v>
      </c>
      <c r="D25" t="inlineStr">
        <is>
          <t>KRONOBERGS LÄN</t>
        </is>
      </c>
      <c r="E25" t="inlineStr">
        <is>
          <t>ÄLMHULT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HYPERLINK("https://klasma.github.io/Logging_070765/artfynd/A 9876-2025 artfynd.xlsx", "A 9876-2025")</f>
        <v/>
      </c>
      <c r="T25">
        <f>HYPERLINK("https://klasma.github.io/Logging_070765/kartor/A 9876-2025 karta.png", "A 9876-2025")</f>
        <v/>
      </c>
      <c r="V25">
        <f>HYPERLINK("https://klasma.github.io/Logging_070765/klagomål/A 9876-2025 FSC-klagomål.docx", "A 9876-2025")</f>
        <v/>
      </c>
      <c r="W25">
        <f>HYPERLINK("https://klasma.github.io/Logging_070765/klagomålsmail/A 9876-2025 FSC-klagomål mail.docx", "A 9876-2025")</f>
        <v/>
      </c>
      <c r="X25">
        <f>HYPERLINK("https://klasma.github.io/Logging_070765/tillsyn/A 9876-2025 tillsynsbegäran.docx", "A 9876-2025")</f>
        <v/>
      </c>
      <c r="Y25">
        <f>HYPERLINK("https://klasma.github.io/Logging_070765/tillsynsmail/A 9876-2025 tillsynsbegäran mail.docx", "A 9876-2025")</f>
        <v/>
      </c>
    </row>
    <row r="26" ht="15" customHeight="1">
      <c r="A26" t="inlineStr">
        <is>
          <t>A 14789-2025</t>
        </is>
      </c>
      <c r="B26" s="1" t="n">
        <v>45742</v>
      </c>
      <c r="C26" s="1" t="n">
        <v>45839</v>
      </c>
      <c r="D26" t="inlineStr">
        <is>
          <t>KRONOBERGS LÄN</t>
        </is>
      </c>
      <c r="E26" t="inlineStr">
        <is>
          <t>ÄLMHULT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HYPERLINK("https://klasma.github.io/Logging_070765/artfynd/A 14789-2025 artfynd.xlsx", "A 14789-2025")</f>
        <v/>
      </c>
      <c r="T26">
        <f>HYPERLINK("https://klasma.github.io/Logging_070765/kartor/A 14789-2025 karta.png", "A 14789-2025")</f>
        <v/>
      </c>
      <c r="V26">
        <f>HYPERLINK("https://klasma.github.io/Logging_070765/klagomål/A 14789-2025 FSC-klagomål.docx", "A 14789-2025")</f>
        <v/>
      </c>
      <c r="W26">
        <f>HYPERLINK("https://klasma.github.io/Logging_070765/klagomålsmail/A 14789-2025 FSC-klagomål mail.docx", "A 14789-2025")</f>
        <v/>
      </c>
      <c r="X26">
        <f>HYPERLINK("https://klasma.github.io/Logging_070765/tillsyn/A 14789-2025 tillsynsbegäran.docx", "A 14789-2025")</f>
        <v/>
      </c>
      <c r="Y26">
        <f>HYPERLINK("https://klasma.github.io/Logging_070765/tillsynsmail/A 14789-2025 tillsynsbegäran mail.docx", "A 14789-2025")</f>
        <v/>
      </c>
    </row>
    <row r="27" ht="15" customHeight="1">
      <c r="A27" t="inlineStr">
        <is>
          <t>A 18747-2025</t>
        </is>
      </c>
      <c r="B27" s="1" t="n">
        <v>45763</v>
      </c>
      <c r="C27" s="1" t="n">
        <v>45839</v>
      </c>
      <c r="D27" t="inlineStr">
        <is>
          <t>KRONOBERGS LÄN</t>
        </is>
      </c>
      <c r="E27" t="inlineStr">
        <is>
          <t>ÄLMHULT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HYPERLINK("https://klasma.github.io/Logging_070765/artfynd/A 18747-2025 artfynd.xlsx", "A 18747-2025")</f>
        <v/>
      </c>
      <c r="T27">
        <f>HYPERLINK("https://klasma.github.io/Logging_070765/kartor/A 18747-2025 karta.png", "A 18747-2025")</f>
        <v/>
      </c>
      <c r="V27">
        <f>HYPERLINK("https://klasma.github.io/Logging_070765/klagomål/A 18747-2025 FSC-klagomål.docx", "A 18747-2025")</f>
        <v/>
      </c>
      <c r="W27">
        <f>HYPERLINK("https://klasma.github.io/Logging_070765/klagomålsmail/A 18747-2025 FSC-klagomål mail.docx", "A 18747-2025")</f>
        <v/>
      </c>
      <c r="X27">
        <f>HYPERLINK("https://klasma.github.io/Logging_070765/tillsyn/A 18747-2025 tillsynsbegäran.docx", "A 18747-2025")</f>
        <v/>
      </c>
      <c r="Y27">
        <f>HYPERLINK("https://klasma.github.io/Logging_070765/tillsynsmail/A 18747-2025 tillsynsbegäran mail.docx", "A 18747-2025")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45839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45839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45839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45839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45839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45839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45839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45839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45839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45839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45839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45839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45839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45839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45839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45839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45839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45839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45839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45839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45839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45839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45839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45839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45839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45839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45839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45839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45839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45839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45839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45839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45839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45839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45839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45839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45839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45839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45839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45839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45839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45839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45839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45839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45839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45839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45839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45839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45839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45839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45839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45839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45839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45839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45839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45839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45839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45839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45839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45839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45839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45839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45839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45839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45839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45839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45839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45839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45839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45839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45839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45839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45839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45839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45839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45839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45839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45839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45839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45839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45839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45839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45839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45839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45839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45839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45839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45839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45839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45839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45839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45839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45839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45839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45839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45839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45839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45839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45839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45839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45839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45839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45839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45839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45839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45839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45839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45839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45839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45839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45839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45839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45839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45839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45839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45839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45839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45839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45839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45839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45839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45839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45839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45839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45839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45839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45839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45839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45839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45839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45839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45839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45839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45839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45839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45839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45839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45839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45839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45839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45839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45839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45839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45839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45839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45839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45839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45839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45839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45839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45839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45839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45839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45839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45839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45839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45839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45839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45839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45839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45839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45839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45839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45839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45839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45839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45839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45839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45839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45839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45839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45839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45839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45839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45839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45839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45839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45839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45839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45839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45839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45839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45839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45839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45839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45839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45839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45839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45839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45839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45839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45839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45839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45839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45839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45839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45839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45839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45839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45839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45839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45839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45839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45839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45839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45839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45839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45839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45839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45839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45839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45839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45839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45839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45839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45839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45839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45839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45839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45839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45839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45839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45839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45839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45839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45839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45839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45839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45839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45839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45839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45839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45839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45839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45839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45839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45839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45839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45839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45839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45839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45839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45839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45839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45839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45839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45839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45839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45839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45839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45839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45839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45839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45839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45839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45839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45839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45839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45839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45839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45839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45839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45839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45839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45839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45839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45839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45839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45839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45839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45839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45839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45839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45839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45839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45839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45839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45839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45839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45839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45839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45839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45839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45839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45839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45839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45839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45839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45839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45839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45839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45839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45839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45839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45839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45839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45839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45839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45839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45839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45839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45839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45839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45839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45839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45839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45839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45839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45839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45839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45839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45839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45839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45839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45839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45839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45839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45839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45839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45839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45839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45839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45839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45839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45839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45839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45839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45839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45839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45839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45839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45839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45839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45839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45839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45839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45839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45839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45839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45839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45839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45839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45839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45839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45839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45839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45839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45839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45839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45839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45839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45839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45839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45839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45839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45839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45839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45839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45839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45839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45839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45839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45839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45839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45839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45839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45839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45839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45839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45839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45839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45839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45839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45839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45839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45839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45839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45839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45839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45839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45839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45839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45839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45839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45839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45839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45839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45839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45839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45839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45839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45839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45839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45839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45839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45839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45839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45839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45839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45839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45839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45839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45839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45839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45839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45839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45839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45839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45839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45839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45839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45839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45839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45839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45839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45839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45839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45839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45839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45839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45839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45839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45839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45839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45839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45839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45839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45839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45839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45839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45839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45839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45839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45839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45839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45839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45839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45839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45839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45839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45839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45839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45839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45839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45839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45839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45839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45839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45839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45839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45839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45839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45839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45839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45839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45839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45839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45839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45839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45839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45839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45839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45839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45839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45839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45839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45839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45839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45839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45839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45839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45839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45839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45839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45839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45839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45839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45839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45839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45839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45839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45839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45839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45839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45839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45839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45839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45839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45839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45839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45839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45839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45839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45839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45839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45839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45839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45839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45839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45839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45839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45839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45839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45839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45839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45839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45839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45839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45839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45839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45839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45839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45839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45839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45839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45839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45839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45839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45839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45839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45839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45839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45839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45839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45839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45839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45839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45839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45839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45839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45839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45839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45839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45839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45839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45839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45839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45839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45839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45839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45839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45839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45839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45839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45839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45839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45839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45839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45839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45839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45839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45839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45839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45839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45839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45839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45839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45839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45839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45839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45839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45839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45839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45839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45839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45839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45839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45839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45839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45839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45839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45839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45839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45839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45839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45839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45839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45839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45839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45839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45839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45839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45839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45839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45839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45839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45839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45839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45839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45839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45839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45839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45839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45839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45839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45839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45839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45839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45839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45839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45839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45839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45839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45839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45839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45839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45839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45839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45839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45839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45839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45839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45839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45839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45839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45839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45839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45839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45839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45839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45839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45839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45839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45839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45839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45839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45839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45839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45839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45839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45839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45839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45839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45839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45839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45839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45839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45839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45839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45839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45839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45839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45839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45839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45839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45839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45839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45839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45839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45839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45839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45839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45839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45839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45839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45839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45839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45839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45839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45839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45839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45839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45839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45839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45839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45839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45839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45839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45839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45839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45839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45839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45839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45839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45839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45839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45839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45839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45839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45839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45839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45839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45839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45839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45839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45839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45839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45839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45839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45839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45839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45839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45839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45839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45839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45839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45839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45839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45839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45839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45839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45839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45839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45839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45839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45839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45839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45839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45839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45839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45839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45839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45839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45839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45839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45839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45839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45839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45839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45839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45839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45839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45839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45839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45839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45839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45839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45839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45839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45839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45839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45839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45839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45839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45839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45839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45839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45839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45839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45839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45839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45839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45839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45839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45839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45839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45839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45839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45839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45839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45839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45839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45839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45839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45839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45839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45839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45839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45839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45839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45839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45839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45839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45839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45839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45839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45839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45839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45839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45839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45839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45839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45839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45839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45839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45839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45839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45839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45839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45839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45839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45839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45839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45839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45839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45839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45839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45839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45839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45839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45839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45839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45839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45839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45839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45839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45839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45839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45839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45839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45839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45839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45839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45839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45839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45839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45839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45839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45839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45839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45839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45839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45839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45839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45839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45839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45839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45839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45839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45839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45839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45839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45839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45839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45839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45839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45839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45839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45839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45839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45839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45839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45839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45839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45839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45839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45839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45839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45839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45839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45839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45839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45839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45839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45839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45839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45839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45839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45839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45839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45839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45839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45839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45839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45839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45839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45839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45839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45839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45839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45839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45839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45839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45839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45839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45839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45839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45839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45839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45839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45839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45839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45839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45839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45839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45839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45839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45839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45839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45839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45839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45839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45839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45839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45839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45839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45839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45839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45839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45839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45839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45839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45839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45839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45839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45839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45839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45839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45839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45839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45839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45839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45839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45839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45839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45839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45839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45839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45839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45839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45839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45839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45839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45839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45839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45839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45839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45839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45839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45839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45839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45839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45839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45839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45839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45839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45839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45839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45839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45839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45839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45839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45839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45839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45839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45839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45839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45839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45839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45839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45839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45839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45839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45839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45839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45839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45839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45839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45839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45839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45839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45839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45839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45839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45839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45839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45839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45839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45839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45839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45839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45839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45839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45839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45839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45839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45839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45839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45839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45839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45839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45839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45839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45839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45839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45839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45839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45839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45839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45839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45839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45839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45839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45839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45839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45839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45839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45839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45839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45839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45839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45839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45839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45839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45839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45839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45839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45839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45839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45839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45839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45839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45839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45839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45839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45839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45839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45839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45839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45839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45839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45839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45839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45839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45839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45839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45839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45839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45839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45839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45839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45839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45839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45839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45839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45839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45839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45839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45839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45839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45839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45839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45839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45839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45839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45839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45839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45839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45839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45839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45839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45839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45839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45839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45839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45839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45839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45839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45839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45839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45839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45839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45839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45839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45839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45839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45839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45839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45839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45839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45839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45839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45839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45839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45839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45839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45839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45839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45839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45839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45839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45839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45839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45839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45839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45839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45839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45839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45839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45839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45839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45839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45839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45839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45839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45839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45839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45839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45839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45839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45839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45839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26326-2025</t>
        </is>
      </c>
      <c r="B1188" s="1" t="n">
        <v>45805</v>
      </c>
      <c r="C1188" s="1" t="n">
        <v>45839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45839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45839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45839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45839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45839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27423-2025</t>
        </is>
      </c>
      <c r="B1194" s="1" t="n">
        <v>45813</v>
      </c>
      <c r="C1194" s="1" t="n">
        <v>45839</v>
      </c>
      <c r="D1194" t="inlineStr">
        <is>
          <t>KRONOBERGS LÄN</t>
        </is>
      </c>
      <c r="E1194" t="inlineStr">
        <is>
          <t>ÄLMHULT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27424-2025</t>
        </is>
      </c>
      <c r="B1195" s="1" t="n">
        <v>45813</v>
      </c>
      <c r="C1195" s="1" t="n">
        <v>45839</v>
      </c>
      <c r="D1195" t="inlineStr">
        <is>
          <t>KRONOBERGS LÄN</t>
        </is>
      </c>
      <c r="E1195" t="inlineStr">
        <is>
          <t>ÄLMHULT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27942-2025</t>
        </is>
      </c>
      <c r="B1196" s="1" t="n">
        <v>45817</v>
      </c>
      <c r="C1196" s="1" t="n">
        <v>45839</v>
      </c>
      <c r="D1196" t="inlineStr">
        <is>
          <t>KRONOBERGS LÄN</t>
        </is>
      </c>
      <c r="E1196" t="inlineStr">
        <is>
          <t>ÄLMHULT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28035-2025</t>
        </is>
      </c>
      <c r="B1197" s="1" t="n">
        <v>45817</v>
      </c>
      <c r="C1197" s="1" t="n">
        <v>45839</v>
      </c>
      <c r="D1197" t="inlineStr">
        <is>
          <t>KRONOBERGS LÄN</t>
        </is>
      </c>
      <c r="E1197" t="inlineStr">
        <is>
          <t>ÄLMHULT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45839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45839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45839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45839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45839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30337-2025</t>
        </is>
      </c>
      <c r="B1203" s="1" t="n">
        <v>45827</v>
      </c>
      <c r="C1203" s="1" t="n">
        <v>45839</v>
      </c>
      <c r="D1203" t="inlineStr">
        <is>
          <t>KRONOBERGS LÄN</t>
        </is>
      </c>
      <c r="E1203" t="inlineStr">
        <is>
          <t>ÄLMHULT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30410-2025</t>
        </is>
      </c>
      <c r="B1204" s="1" t="n">
        <v>45827</v>
      </c>
      <c r="C1204" s="1" t="n">
        <v>45839</v>
      </c>
      <c r="D1204" t="inlineStr">
        <is>
          <t>KRONOBERGS LÄN</t>
        </is>
      </c>
      <c r="E1204" t="inlineStr">
        <is>
          <t>ÄLMHULT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30322-2025</t>
        </is>
      </c>
      <c r="B1205" s="1" t="n">
        <v>45827</v>
      </c>
      <c r="C1205" s="1" t="n">
        <v>45839</v>
      </c>
      <c r="D1205" t="inlineStr">
        <is>
          <t>KRONOBERGS LÄN</t>
        </is>
      </c>
      <c r="E1205" t="inlineStr">
        <is>
          <t>ÄLMHULT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30835-2025</t>
        </is>
      </c>
      <c r="B1206" s="1" t="n">
        <v>45831</v>
      </c>
      <c r="C1206" s="1" t="n">
        <v>45839</v>
      </c>
      <c r="D1206" t="inlineStr">
        <is>
          <t>KRONOBERGS LÄN</t>
        </is>
      </c>
      <c r="E1206" t="inlineStr">
        <is>
          <t>ÄLMHULT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30801-2025</t>
        </is>
      </c>
      <c r="B1207" s="1" t="n">
        <v>45831</v>
      </c>
      <c r="C1207" s="1" t="n">
        <v>45839</v>
      </c>
      <c r="D1207" t="inlineStr">
        <is>
          <t>KRONOBERGS LÄN</t>
        </is>
      </c>
      <c r="E1207" t="inlineStr">
        <is>
          <t>ÄLMHULT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30818-2025</t>
        </is>
      </c>
      <c r="B1208" s="1" t="n">
        <v>45831</v>
      </c>
      <c r="C1208" s="1" t="n">
        <v>45839</v>
      </c>
      <c r="D1208" t="inlineStr">
        <is>
          <t>KRONOBERGS LÄN</t>
        </is>
      </c>
      <c r="E1208" t="inlineStr">
        <is>
          <t>ÄLMHULT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45839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45839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45839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31560-2025</t>
        </is>
      </c>
      <c r="B1212" s="1" t="n">
        <v>45833</v>
      </c>
      <c r="C1212" s="1" t="n">
        <v>45839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31761-2025</t>
        </is>
      </c>
      <c r="B1213" s="1" t="n">
        <v>45834</v>
      </c>
      <c r="C1213" s="1" t="n">
        <v>45839</v>
      </c>
      <c r="D1213" t="inlineStr">
        <is>
          <t>KRONOBERGS LÄN</t>
        </is>
      </c>
      <c r="E1213" t="inlineStr">
        <is>
          <t>ÄLMHULT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32233-2025</t>
        </is>
      </c>
      <c r="B1214" s="1" t="n">
        <v>45835</v>
      </c>
      <c r="C1214" s="1" t="n">
        <v>45839</v>
      </c>
      <c r="D1214" t="inlineStr">
        <is>
          <t>KRONOBERGS LÄN</t>
        </is>
      </c>
      <c r="E1214" t="inlineStr">
        <is>
          <t>ÄLMHULT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32197-2025</t>
        </is>
      </c>
      <c r="B1215" s="1" t="n">
        <v>45835</v>
      </c>
      <c r="C1215" s="1" t="n">
        <v>45839</v>
      </c>
      <c r="D1215" t="inlineStr">
        <is>
          <t>KRONOBERGS LÄN</t>
        </is>
      </c>
      <c r="E1215" t="inlineStr">
        <is>
          <t>ÄLMHULT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2025-07-01T18:58:25Z</dcterms:created>
  <dcterms:modified xmlns:dcterms="http://purl.org/dc/terms/" xmlns:xsi="http://www.w3.org/2001/XMLSchema-instance" xsi:type="dcterms:W3CDTF">2025-07-01T18:58:26Z</dcterms:modified>
</cp:coreProperties>
</file>