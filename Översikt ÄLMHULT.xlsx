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46257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46257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46257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46257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46257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46257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46257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46257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46257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46257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46257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46257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46257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46257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46257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46257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46257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46257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46257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46257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46257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46257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46257</v>
      </c>
      <c r="F31" t="inlineStr">
        <is>
          <t>KRONOBERGS LÄN</t>
        </is>
      </c>
      <c r="G31" t="inlineStr">
        <is>
          <t>ÄLMHULT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HYPERLINK("https://klasma.github.io/Logging_0765/artfynd/A 18943-2026 artfynd.xlsx", "A 18943-2026")</f>
        <v/>
      </c>
      <c r="X31">
        <f>HYPERLINK("https://klasma.github.io/Logging_0765/kartor/A 18943-2026 karta.png", "A 18943-2026")</f>
        <v/>
      </c>
      <c r="Y31">
        <f>HYPERLINK("https://klasma.github.io/Logging_0765/kartor_geotiff/A 18943-2026 georefererad karta.tif", "A 18943-2026")</f>
        <v/>
      </c>
      <c r="AA31">
        <f>HYPERLINK("https://klasma.github.io/Logging_0765/klagomål/A 18943-2026 FSC-klagomål.docx", "A 18943-2026")</f>
        <v/>
      </c>
      <c r="AB31">
        <f>HYPERLINK("https://klasma.github.io/Logging_0765/klagomålsmail/A 18943-2026 FSC-klagomål mail.docx", "A 18943-2026")</f>
        <v/>
      </c>
      <c r="AC31">
        <f>HYPERLINK("https://klasma.github.io/Logging_0765/tillsyn/A 18943-2026 tillsynsbegäran.docx", "A 18943-2026")</f>
        <v/>
      </c>
      <c r="AD31">
        <f>HYPERLINK("https://klasma.github.io/Logging_0765/tillsynsmail/A 18943-2026 tillsynsbegäran mail.docx", "A 18943-2026")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46257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19196-2025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46257</v>
      </c>
      <c r="F33" t="inlineStr">
        <is>
          <t>KRONOBERGS LÄN</t>
        </is>
      </c>
      <c r="G33" t="inlineStr">
        <is>
          <t>ÄLMHULT</t>
        </is>
      </c>
      <c r="I33" t="n">
        <v>26.2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HYPERLINK("https://klasma.github.io/Logging_0765/artfynd/A 19196-2025 artfynd.xlsx", "A 19196-2025")</f>
        <v/>
      </c>
      <c r="X33">
        <f>HYPERLINK("https://klasma.github.io/Logging_0765/kartor/A 19196-2025 karta.png", "A 19196-2025")</f>
        <v/>
      </c>
      <c r="Y33">
        <f>HYPERLINK("https://klasma.github.io/Logging_0765/kartor_geotiff/A 19196-2025 georefererad karta.tif", "A 19196-2025")</f>
        <v/>
      </c>
      <c r="AA33">
        <f>HYPERLINK("https://klasma.github.io/Logging_0765/klagomål/A 19196-2025 FSC-klagomål.docx", "A 19196-2025")</f>
        <v/>
      </c>
      <c r="AB33">
        <f>HYPERLINK("https://klasma.github.io/Logging_0765/klagomålsmail/A 19196-2025 FSC-klagomål mail.docx", "A 19196-2025")</f>
        <v/>
      </c>
      <c r="AC33">
        <f>HYPERLINK("https://klasma.github.io/Logging_0765/tillsyn/A 19196-2025 tillsynsbegäran.docx", "A 19196-2025")</f>
        <v/>
      </c>
      <c r="AD33">
        <f>HYPERLINK("https://klasma.github.io/Logging_0765/tillsynsmail/A 19196-2025 tillsynsbegäran mail.docx", "A 19196-2025")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46257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46257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46257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46257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46257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46257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46257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46257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46257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46257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46257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46257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46257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46257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46257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46257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46257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44749</v>
      </c>
      <c r="E51" s="1" t="n">
        <v>46257</v>
      </c>
      <c r="F51" t="inlineStr">
        <is>
          <t>KRONOBERGS LÄN</t>
        </is>
      </c>
      <c r="G51" t="inlineStr">
        <is>
          <t>ÄLMHULT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46257</v>
      </c>
      <c r="F52" t="inlineStr">
        <is>
          <t>KRONOBERGS LÄN</t>
        </is>
      </c>
      <c r="G52" t="inlineStr">
        <is>
          <t>ÄLMHULT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46257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46257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46257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46257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46257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46257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46257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46257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46257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46257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46257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46257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46257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46257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46257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46257</v>
      </c>
      <c r="F68" t="inlineStr">
        <is>
          <t>KRONOBERGS LÄN</t>
        </is>
      </c>
      <c r="G68" t="inlineStr">
        <is>
          <t>ÄLMHULT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46257</v>
      </c>
      <c r="F69" t="inlineStr">
        <is>
          <t>KRONOBERGS LÄN</t>
        </is>
      </c>
      <c r="G69" t="inlineStr">
        <is>
          <t>ÄLMHULT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46257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46257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46257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46257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46257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46257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46257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46257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46257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46257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46257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46257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46257</v>
      </c>
      <c r="F82" t="inlineStr">
        <is>
          <t>KRONOBERGS LÄN</t>
        </is>
      </c>
      <c r="G82" t="inlineStr">
        <is>
          <t>ÄLMHULT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46257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46257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46257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25812-2022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44733</v>
      </c>
      <c r="E86" s="1" t="n">
        <v>46257</v>
      </c>
      <c r="F86" t="inlineStr">
        <is>
          <t>KRONOBERGS LÄN</t>
        </is>
      </c>
      <c r="G86" t="inlineStr">
        <is>
          <t>ÄLMHULT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46257</v>
      </c>
      <c r="F87" t="inlineStr">
        <is>
          <t>KRONOBERGS LÄN</t>
        </is>
      </c>
      <c r="G87" t="inlineStr">
        <is>
          <t>ÄLMHULT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46257</v>
      </c>
      <c r="F88" t="inlineStr">
        <is>
          <t>KRONOBERGS LÄN</t>
        </is>
      </c>
      <c r="G88" t="inlineStr">
        <is>
          <t>ÄLMHULT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46257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46257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46257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46257</v>
      </c>
      <c r="F92" t="inlineStr">
        <is>
          <t>KRONOBERGS LÄN</t>
        </is>
      </c>
      <c r="G92" t="inlineStr">
        <is>
          <t>ÄLMHULT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46257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46257</v>
      </c>
      <c r="F94" t="inlineStr">
        <is>
          <t>KRONOBERGS LÄN</t>
        </is>
      </c>
      <c r="G94" t="inlineStr">
        <is>
          <t>ÄLMHULT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46257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46257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46257</v>
      </c>
      <c r="F97" t="inlineStr">
        <is>
          <t>KRONOBERGS LÄN</t>
        </is>
      </c>
      <c r="G97" t="inlineStr">
        <is>
          <t>ÄLMHULT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46257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67941-2021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46257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46257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46257</v>
      </c>
      <c r="F101" t="inlineStr">
        <is>
          <t>KRONOBERGS LÄN</t>
        </is>
      </c>
      <c r="G101" t="inlineStr">
        <is>
          <t>ÄLMHULT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46257</v>
      </c>
      <c r="F102" t="inlineStr">
        <is>
          <t>KRONOBERGS LÄN</t>
        </is>
      </c>
      <c r="G102" t="inlineStr">
        <is>
          <t>ÄLMHULT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46257</v>
      </c>
      <c r="F103" t="inlineStr">
        <is>
          <t>KRONOBERGS LÄN</t>
        </is>
      </c>
      <c r="G103" t="inlineStr">
        <is>
          <t>ÄLMHULT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46257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64280-2021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46257</v>
      </c>
      <c r="F105" t="inlineStr">
        <is>
          <t>KRONOBERGS LÄN</t>
        </is>
      </c>
      <c r="G105" t="inlineStr">
        <is>
          <t>ÄLMHULT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46257</v>
      </c>
      <c r="F106" t="inlineStr">
        <is>
          <t>KRONOBERGS LÄN</t>
        </is>
      </c>
      <c r="G106" t="inlineStr">
        <is>
          <t>ÄLMHULT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46257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46257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46257</v>
      </c>
      <c r="F109" t="inlineStr">
        <is>
          <t>KRONOBERGS LÄN</t>
        </is>
      </c>
      <c r="G109" t="inlineStr">
        <is>
          <t>ÄLMHULT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46257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46257</v>
      </c>
      <c r="F111" t="inlineStr">
        <is>
          <t>KRONOBERGS LÄN</t>
        </is>
      </c>
      <c r="G111" t="inlineStr">
        <is>
          <t>ÄLMHULT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46257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46257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45663</v>
      </c>
      <c r="E114" s="1" t="n">
        <v>46257</v>
      </c>
      <c r="F114" t="inlineStr">
        <is>
          <t>KRONOBERGS LÄN</t>
        </is>
      </c>
      <c r="G114" t="inlineStr">
        <is>
          <t>ÄLMHULT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46257</v>
      </c>
      <c r="F115" t="inlineStr">
        <is>
          <t>KRONOBERGS LÄN</t>
        </is>
      </c>
      <c r="G115" t="inlineStr">
        <is>
          <t>ÄLMHULT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46257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46257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46257</v>
      </c>
      <c r="F118" t="inlineStr">
        <is>
          <t>KRONOBERGS LÄN</t>
        </is>
      </c>
      <c r="G118" t="inlineStr">
        <is>
          <t>ÄLMHULT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46257</v>
      </c>
      <c r="F119" t="inlineStr">
        <is>
          <t>KRONOBERGS LÄN</t>
        </is>
      </c>
      <c r="G119" t="inlineStr">
        <is>
          <t>ÄLMHULT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46257</v>
      </c>
      <c r="F120" t="inlineStr">
        <is>
          <t>KRONOBERGS LÄN</t>
        </is>
      </c>
      <c r="G120" t="inlineStr">
        <is>
          <t>ÄLMHULT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46257</v>
      </c>
      <c r="F121" t="inlineStr">
        <is>
          <t>KRONOBERGS LÄN</t>
        </is>
      </c>
      <c r="G121" t="inlineStr">
        <is>
          <t>ÄLMHULT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46257</v>
      </c>
      <c r="F122" t="inlineStr">
        <is>
          <t>KRONOBERGS LÄN</t>
        </is>
      </c>
      <c r="G122" t="inlineStr">
        <is>
          <t>ÄLMHULT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44657</v>
      </c>
      <c r="E123" s="1" t="n">
        <v>46257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72469-2021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44545</v>
      </c>
      <c r="E124" s="1" t="n">
        <v>46257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46257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46257</v>
      </c>
      <c r="F126" t="inlineStr">
        <is>
          <t>KRONOBERGS LÄN</t>
        </is>
      </c>
      <c r="G126" t="inlineStr">
        <is>
          <t>ÄLMHULT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46257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46257</v>
      </c>
      <c r="F128" t="inlineStr">
        <is>
          <t>KRONOBERGS LÄN</t>
        </is>
      </c>
      <c r="G128" t="inlineStr">
        <is>
          <t>ÄLMHULT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46257</v>
      </c>
      <c r="F129" t="inlineStr">
        <is>
          <t>KRONOBERGS LÄN</t>
        </is>
      </c>
      <c r="G129" t="inlineStr">
        <is>
          <t>ÄLMHULT</t>
        </is>
      </c>
      <c r="H129" t="inlineStr">
        <is>
          <t>Sveaskog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46257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45612</v>
      </c>
      <c r="E131" s="1" t="n">
        <v>46257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46257</v>
      </c>
      <c r="F132" t="inlineStr">
        <is>
          <t>KRONOBERGS LÄN</t>
        </is>
      </c>
      <c r="G132" t="inlineStr">
        <is>
          <t>ÄLMHULT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46257</v>
      </c>
      <c r="F133" t="inlineStr">
        <is>
          <t>KRONOBERGS LÄN</t>
        </is>
      </c>
      <c r="G133" t="inlineStr">
        <is>
          <t>ÄLMHULT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45348</v>
      </c>
      <c r="E134" s="1" t="n">
        <v>46257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45233</v>
      </c>
      <c r="E135" s="1" t="n">
        <v>46257</v>
      </c>
      <c r="F135" t="inlineStr">
        <is>
          <t>KRONOBERGS LÄN</t>
        </is>
      </c>
      <c r="G135" t="inlineStr">
        <is>
          <t>ÄLMHULT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45233</v>
      </c>
      <c r="E136" s="1" t="n">
        <v>46257</v>
      </c>
      <c r="F136" t="inlineStr">
        <is>
          <t>KRONOBERGS LÄN</t>
        </is>
      </c>
      <c r="G136" t="inlineStr">
        <is>
          <t>ÄLMHULT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46257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46257</v>
      </c>
      <c r="F138" t="inlineStr">
        <is>
          <t>KRONOBERGS LÄN</t>
        </is>
      </c>
      <c r="G138" t="inlineStr">
        <is>
          <t>ÄLMHULT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45433</v>
      </c>
      <c r="E139" s="1" t="n">
        <v>46257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67257-2021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46257</v>
      </c>
      <c r="F140" t="inlineStr">
        <is>
          <t>KRONOBERGS LÄN</t>
        </is>
      </c>
      <c r="G140" t="inlineStr">
        <is>
          <t>ÄLMHULT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46257</v>
      </c>
      <c r="F141" t="inlineStr">
        <is>
          <t>KRONOBERGS LÄN</t>
        </is>
      </c>
      <c r="G141" t="inlineStr">
        <is>
          <t>ÄLMHULT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46257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46257</v>
      </c>
      <c r="F143" t="inlineStr">
        <is>
          <t>KRONOBERGS LÄN</t>
        </is>
      </c>
      <c r="G143" t="inlineStr">
        <is>
          <t>ÄLMHULT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46257</v>
      </c>
      <c r="F144" t="inlineStr">
        <is>
          <t>KRONOBERGS LÄN</t>
        </is>
      </c>
      <c r="G144" t="inlineStr">
        <is>
          <t>ÄLMHULT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46257</v>
      </c>
      <c r="F145" t="inlineStr">
        <is>
          <t>KRONOBERGS LÄN</t>
        </is>
      </c>
      <c r="G145" t="inlineStr">
        <is>
          <t>ÄLMHULT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46257</v>
      </c>
      <c r="F146" t="inlineStr">
        <is>
          <t>KRONOBERGS LÄN</t>
        </is>
      </c>
      <c r="G146" t="inlineStr">
        <is>
          <t>ÄLMHULT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45695</v>
      </c>
      <c r="E147" s="1" t="n">
        <v>46257</v>
      </c>
      <c r="F147" t="inlineStr">
        <is>
          <t>KRONOBERGS LÄN</t>
        </is>
      </c>
      <c r="G147" t="inlineStr">
        <is>
          <t>ÄLMHULT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46257</v>
      </c>
      <c r="F148" t="inlineStr">
        <is>
          <t>KRONOBERGS LÄN</t>
        </is>
      </c>
      <c r="G148" t="inlineStr">
        <is>
          <t>ÄLMHULT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46257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46257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46257</v>
      </c>
      <c r="F151" t="inlineStr">
        <is>
          <t>KRONOBERGS LÄN</t>
        </is>
      </c>
      <c r="G151" t="inlineStr">
        <is>
          <t>ÄLMHULT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45006</v>
      </c>
      <c r="E152" s="1" t="n">
        <v>46257</v>
      </c>
      <c r="F152" t="inlineStr">
        <is>
          <t>KRONOBERGS LÄN</t>
        </is>
      </c>
      <c r="G152" t="inlineStr">
        <is>
          <t>ÄLMHULT</t>
        </is>
      </c>
      <c r="H152" t="inlineStr">
        <is>
          <t>Kommuner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46257</v>
      </c>
      <c r="F153" t="inlineStr">
        <is>
          <t>KRONOBERGS LÄN</t>
        </is>
      </c>
      <c r="G153" t="inlineStr">
        <is>
          <t>ÄLMHULT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46257</v>
      </c>
      <c r="F154" t="inlineStr">
        <is>
          <t>KRONOBERGS LÄN</t>
        </is>
      </c>
      <c r="G154" t="inlineStr">
        <is>
          <t>ÄLMHULT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46257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46257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46257</v>
      </c>
      <c r="F157" t="inlineStr">
        <is>
          <t>KRONOBERGS LÄN</t>
        </is>
      </c>
      <c r="G157" t="inlineStr">
        <is>
          <t>ÄLMHULT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46257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46257</v>
      </c>
      <c r="F159" t="inlineStr">
        <is>
          <t>KRONOBERGS LÄN</t>
        </is>
      </c>
      <c r="G159" t="inlineStr">
        <is>
          <t>ÄLMHULT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45348</v>
      </c>
      <c r="E160" s="1" t="n">
        <v>46257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46257</v>
      </c>
      <c r="F161" t="inlineStr">
        <is>
          <t>KRONOBERGS LÄN</t>
        </is>
      </c>
      <c r="G161" t="inlineStr">
        <is>
          <t>ÄLMHULT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46257</v>
      </c>
      <c r="F162" t="inlineStr">
        <is>
          <t>KRONOBERGS LÄN</t>
        </is>
      </c>
      <c r="G162" t="inlineStr">
        <is>
          <t>ÄLMHULT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46257</v>
      </c>
      <c r="F163" t="inlineStr">
        <is>
          <t>KRONOBERGS LÄN</t>
        </is>
      </c>
      <c r="G163" t="inlineStr">
        <is>
          <t>ÄLMHULT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HYPERLINK("https://klasma.github.io/Logging_0765/knärot/A 27756-2023 karta knärot.png", "A 27756-2023")</f>
        <v/>
      </c>
      <c r="AA163">
        <f>HYPERLINK("https://klasma.github.io/Logging_0765/klagomål/A 27756-2023 FSC-klagomål.docx", "A 27756-2023")</f>
        <v/>
      </c>
      <c r="AB163">
        <f>HYPERLINK("https://klasma.github.io/Logging_0765/klagomålsmail/A 27756-2023 FSC-klagomål mail.docx", "A 27756-2023")</f>
        <v/>
      </c>
      <c r="AC163">
        <f>HYPERLINK("https://klasma.github.io/Logging_0765/tillsyn/A 27756-2023 tillsynsbegäran.docx", "A 27756-2023")</f>
        <v/>
      </c>
      <c r="AD163">
        <f>HYPERLINK("https://klasma.github.io/Logging_0765/tillsynsmail/A 27756-2023 tillsynsbegäran mail.docx", "A 27756-2023")</f>
        <v/>
      </c>
    </row>
    <row r="164" ht="15" customHeight="1">
      <c r="A164" t="inlineStr">
        <is>
          <t>A 49934-2023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46257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45734</v>
      </c>
      <c r="E165" s="1" t="n">
        <v>46257</v>
      </c>
      <c r="F165" t="inlineStr">
        <is>
          <t>KRONOBERGS LÄN</t>
        </is>
      </c>
      <c r="G165" t="inlineStr">
        <is>
          <t>ÄLMHULT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46257</v>
      </c>
      <c r="F166" t="inlineStr">
        <is>
          <t>KRONOBERGS LÄN</t>
        </is>
      </c>
      <c r="G166" t="inlineStr">
        <is>
          <t>ÄLMHULT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46257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46257</v>
      </c>
      <c r="F168" t="inlineStr">
        <is>
          <t>KRONOBERGS LÄN</t>
        </is>
      </c>
      <c r="G168" t="inlineStr">
        <is>
          <t>ÄLMHULT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33944-2023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45134</v>
      </c>
      <c r="E169" s="1" t="n">
        <v>46257</v>
      </c>
      <c r="F169" t="inlineStr">
        <is>
          <t>KRONOBERGS LÄN</t>
        </is>
      </c>
      <c r="G169" t="inlineStr">
        <is>
          <t>ÄLMHULT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46257</v>
      </c>
      <c r="F170" t="inlineStr">
        <is>
          <t>KRONOBERGS LÄN</t>
        </is>
      </c>
      <c r="G170" t="inlineStr">
        <is>
          <t>ÄLMHULT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45335</v>
      </c>
      <c r="E171" s="1" t="n">
        <v>46257</v>
      </c>
      <c r="F171" t="inlineStr">
        <is>
          <t>KRONOBERGS LÄN</t>
        </is>
      </c>
      <c r="G171" t="inlineStr">
        <is>
          <t>ÄLMHULT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46257</v>
      </c>
      <c r="F172" t="inlineStr">
        <is>
          <t>KRONOBERGS LÄN</t>
        </is>
      </c>
      <c r="G172" t="inlineStr">
        <is>
          <t>ÄLMHULT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46257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46257</v>
      </c>
      <c r="F174" t="inlineStr">
        <is>
          <t>KRONOBERGS LÄN</t>
        </is>
      </c>
      <c r="G174" t="inlineStr">
        <is>
          <t>ÄLMHULT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46257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44434</v>
      </c>
      <c r="E176" s="1" t="n">
        <v>46257</v>
      </c>
      <c r="F176" t="inlineStr">
        <is>
          <t>KRONOBERGS LÄN</t>
        </is>
      </c>
      <c r="G176" t="inlineStr">
        <is>
          <t>ÄLMHULT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46257</v>
      </c>
      <c r="F177" t="inlineStr">
        <is>
          <t>KRONOBERGS LÄN</t>
        </is>
      </c>
      <c r="G177" t="inlineStr">
        <is>
          <t>ÄLMHULT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46257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46257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46257</v>
      </c>
      <c r="F180" t="inlineStr">
        <is>
          <t>KRONOBERGS LÄN</t>
        </is>
      </c>
      <c r="G180" t="inlineStr">
        <is>
          <t>ÄLMHULT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46257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46257</v>
      </c>
      <c r="F182" t="inlineStr">
        <is>
          <t>KRONOBERGS LÄN</t>
        </is>
      </c>
      <c r="G182" t="inlineStr">
        <is>
          <t>ÄLMHULT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46257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46257</v>
      </c>
      <c r="F184" t="inlineStr">
        <is>
          <t>KRONOBERGS LÄN</t>
        </is>
      </c>
      <c r="G184" t="inlineStr">
        <is>
          <t>ÄLMHULT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46257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44962</v>
      </c>
      <c r="E186" s="1" t="n">
        <v>46257</v>
      </c>
      <c r="F186" t="inlineStr">
        <is>
          <t>KRONOBERGS LÄN</t>
        </is>
      </c>
      <c r="G186" t="inlineStr">
        <is>
          <t>ÄLMHULT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46257</v>
      </c>
      <c r="F187" t="inlineStr">
        <is>
          <t>KRONOBERGS LÄN</t>
        </is>
      </c>
      <c r="G187" t="inlineStr">
        <is>
          <t>ÄLMHULT</t>
        </is>
      </c>
      <c r="H187" t="inlineStr">
        <is>
          <t>Kyrkan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46257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46257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46257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46257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46257</v>
      </c>
      <c r="F192" t="inlineStr">
        <is>
          <t>KRONOBERGS LÄN</t>
        </is>
      </c>
      <c r="G192" t="inlineStr">
        <is>
          <t>ÄLMHULT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45010</v>
      </c>
      <c r="E193" s="1" t="n">
        <v>46257</v>
      </c>
      <c r="F193" t="inlineStr">
        <is>
          <t>KRONOBERGS LÄN</t>
        </is>
      </c>
      <c r="G193" t="inlineStr">
        <is>
          <t>ÄLMHULT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45457</v>
      </c>
      <c r="E194" s="1" t="n">
        <v>46257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45457</v>
      </c>
      <c r="E195" s="1" t="n">
        <v>46257</v>
      </c>
      <c r="F195" t="inlineStr">
        <is>
          <t>KRONOBERGS LÄN</t>
        </is>
      </c>
      <c r="G195" t="inlineStr">
        <is>
          <t>ÄLMHULT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45543</v>
      </c>
      <c r="E196" s="1" t="n">
        <v>46257</v>
      </c>
      <c r="F196" t="inlineStr">
        <is>
          <t>KRONOBERGS LÄN</t>
        </is>
      </c>
      <c r="G196" t="inlineStr">
        <is>
          <t>ÄLMHULT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45578</v>
      </c>
      <c r="E197" s="1" t="n">
        <v>46257</v>
      </c>
      <c r="F197" t="inlineStr">
        <is>
          <t>KRONOBERGS LÄN</t>
        </is>
      </c>
      <c r="G197" t="inlineStr">
        <is>
          <t>ÄLMHULT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46257</v>
      </c>
      <c r="F198" t="inlineStr">
        <is>
          <t>KRONOBERGS LÄN</t>
        </is>
      </c>
      <c r="G198" t="inlineStr">
        <is>
          <t>ÄLMHULT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46257</v>
      </c>
      <c r="F199" t="inlineStr">
        <is>
          <t>KRONOBERGS LÄN</t>
        </is>
      </c>
      <c r="G199" t="inlineStr">
        <is>
          <t>ÄLMHULT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46257</v>
      </c>
      <c r="F200" t="inlineStr">
        <is>
          <t>KRONOBERGS LÄN</t>
        </is>
      </c>
      <c r="G200" t="inlineStr">
        <is>
          <t>ÄLMHULT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46257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46257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46257</v>
      </c>
      <c r="F203" t="inlineStr">
        <is>
          <t>KRONOBERGS LÄN</t>
        </is>
      </c>
      <c r="G203" t="inlineStr">
        <is>
          <t>ÄLMHULT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45355</v>
      </c>
      <c r="E204" s="1" t="n">
        <v>46257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46257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45529</v>
      </c>
      <c r="E206" s="1" t="n">
        <v>46257</v>
      </c>
      <c r="F206" t="inlineStr">
        <is>
          <t>KRONOBERGS LÄN</t>
        </is>
      </c>
      <c r="G206" t="inlineStr">
        <is>
          <t>ÄLMHULT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54734-2021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46257</v>
      </c>
      <c r="F207" t="inlineStr">
        <is>
          <t>KRONOBERGS LÄN</t>
        </is>
      </c>
      <c r="G207" t="inlineStr">
        <is>
          <t>ÄLMHULT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46257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46257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45133</v>
      </c>
      <c r="E210" s="1" t="n">
        <v>46257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46257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46257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46257</v>
      </c>
      <c r="F213" t="inlineStr">
        <is>
          <t>KRONOBERGS LÄN</t>
        </is>
      </c>
      <c r="G213" t="inlineStr">
        <is>
          <t>ÄLMHULT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46257</v>
      </c>
      <c r="F214" t="inlineStr">
        <is>
          <t>KRONOBERGS LÄN</t>
        </is>
      </c>
      <c r="G214" t="inlineStr">
        <is>
          <t>ÄLMHULT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46257</v>
      </c>
      <c r="F215" t="inlineStr">
        <is>
          <t>KRONOBERGS LÄN</t>
        </is>
      </c>
      <c r="G215" t="inlineStr">
        <is>
          <t>ÄLMHULT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46257</v>
      </c>
      <c r="F216" t="inlineStr">
        <is>
          <t>KRONOBERGS LÄN</t>
        </is>
      </c>
      <c r="G216" t="inlineStr">
        <is>
          <t>ÄLMHULT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45010</v>
      </c>
      <c r="E217" s="1" t="n">
        <v>46257</v>
      </c>
      <c r="F217" t="inlineStr">
        <is>
          <t>KRONOBERGS LÄN</t>
        </is>
      </c>
      <c r="G217" t="inlineStr">
        <is>
          <t>ÄLMHULT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46257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62812-2023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46257</v>
      </c>
      <c r="F219" t="inlineStr">
        <is>
          <t>KRONOBERGS LÄN</t>
        </is>
      </c>
      <c r="G219" t="inlineStr">
        <is>
          <t>ÄLMHULT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46257</v>
      </c>
      <c r="F220" t="inlineStr">
        <is>
          <t>KRONOBERGS LÄN</t>
        </is>
      </c>
      <c r="G220" t="inlineStr">
        <is>
          <t>ÄLMHULT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46257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46257</v>
      </c>
      <c r="F222" t="inlineStr">
        <is>
          <t>KRONOBERGS LÄN</t>
        </is>
      </c>
      <c r="G222" t="inlineStr">
        <is>
          <t>ÄLMHULT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46257</v>
      </c>
      <c r="F223" t="inlineStr">
        <is>
          <t>KRONOBERGS LÄN</t>
        </is>
      </c>
      <c r="G223" t="inlineStr">
        <is>
          <t>ÄLMHULT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44438</v>
      </c>
      <c r="E224" s="1" t="n">
        <v>46257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46257</v>
      </c>
      <c r="F225" t="inlineStr">
        <is>
          <t>KRONOBERGS LÄN</t>
        </is>
      </c>
      <c r="G225" t="inlineStr">
        <is>
          <t>ÄLMHULT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46257</v>
      </c>
      <c r="F226" t="inlineStr">
        <is>
          <t>KRONOBERGS LÄN</t>
        </is>
      </c>
      <c r="G226" t="inlineStr">
        <is>
          <t>ÄLMHULT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45566</v>
      </c>
      <c r="E227" s="1" t="n">
        <v>46257</v>
      </c>
      <c r="F227" t="inlineStr">
        <is>
          <t>KRONOBERGS LÄN</t>
        </is>
      </c>
      <c r="G227" t="inlineStr">
        <is>
          <t>ÄLMHULT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46257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46257</v>
      </c>
      <c r="F229" t="inlineStr">
        <is>
          <t>KRONOBERGS LÄN</t>
        </is>
      </c>
      <c r="G229" t="inlineStr">
        <is>
          <t>ÄLMHULT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46257</v>
      </c>
      <c r="F230" t="inlineStr">
        <is>
          <t>KRONOBERGS LÄN</t>
        </is>
      </c>
      <c r="G230" t="inlineStr">
        <is>
          <t>ÄLMHULT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46257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46257</v>
      </c>
      <c r="F232" t="inlineStr">
        <is>
          <t>KRONOBERGS LÄN</t>
        </is>
      </c>
      <c r="G232" t="inlineStr">
        <is>
          <t>ÄLMHULT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46257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46257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46257</v>
      </c>
      <c r="F235" t="inlineStr">
        <is>
          <t>KRONOBERGS LÄN</t>
        </is>
      </c>
      <c r="G235" t="inlineStr">
        <is>
          <t>ÄLMHULT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46257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46257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46257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46257</v>
      </c>
      <c r="F239" t="inlineStr">
        <is>
          <t>KRONOBERGS LÄN</t>
        </is>
      </c>
      <c r="G239" t="inlineStr">
        <is>
          <t>ÄLMHULT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46257</v>
      </c>
      <c r="F240" t="inlineStr">
        <is>
          <t>KRONOBERGS LÄN</t>
        </is>
      </c>
      <c r="G240" t="inlineStr">
        <is>
          <t>ÄLMHULT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46257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45001</v>
      </c>
      <c r="E242" s="1" t="n">
        <v>46257</v>
      </c>
      <c r="F242" t="inlineStr">
        <is>
          <t>KRONOBERGS LÄN</t>
        </is>
      </c>
      <c r="G242" t="inlineStr">
        <is>
          <t>ÄLMHULT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19722-2023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45051</v>
      </c>
      <c r="E243" s="1" t="n">
        <v>46257</v>
      </c>
      <c r="F243" t="inlineStr">
        <is>
          <t>KRONOBERGS LÄN</t>
        </is>
      </c>
      <c r="G243" t="inlineStr">
        <is>
          <t>ÄLMHULT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46257</v>
      </c>
      <c r="F244" t="inlineStr">
        <is>
          <t>KRONOBERGS LÄN</t>
        </is>
      </c>
      <c r="G244" t="inlineStr">
        <is>
          <t>ÄLMHULT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46257</v>
      </c>
      <c r="F245" t="inlineStr">
        <is>
          <t>KRONOBERGS LÄN</t>
        </is>
      </c>
      <c r="G245" t="inlineStr">
        <is>
          <t>ÄLMHULT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64773-2023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46257</v>
      </c>
      <c r="F246" t="inlineStr">
        <is>
          <t>KRONOBERGS LÄN</t>
        </is>
      </c>
      <c r="G246" t="inlineStr">
        <is>
          <t>ÄLMHULT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45638</v>
      </c>
      <c r="E247" s="1" t="n">
        <v>46257</v>
      </c>
      <c r="F247" t="inlineStr">
        <is>
          <t>KRONOBERGS LÄN</t>
        </is>
      </c>
      <c r="G247" t="inlineStr">
        <is>
          <t>ÄLMHULT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45638</v>
      </c>
      <c r="E248" s="1" t="n">
        <v>46257</v>
      </c>
      <c r="F248" t="inlineStr">
        <is>
          <t>KRONOBERGS LÄN</t>
        </is>
      </c>
      <c r="G248" t="inlineStr">
        <is>
          <t>ÄLMHULT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46257</v>
      </c>
      <c r="F249" t="inlineStr">
        <is>
          <t>KRONOBERGS LÄN</t>
        </is>
      </c>
      <c r="G249" t="inlineStr">
        <is>
          <t>ÄLMHULT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46257</v>
      </c>
      <c r="F250" t="inlineStr">
        <is>
          <t>KRONOBERGS LÄN</t>
        </is>
      </c>
      <c r="G250" t="inlineStr">
        <is>
          <t>ÄLMHULT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46257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46257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46257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46257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46257</v>
      </c>
      <c r="F255" t="inlineStr">
        <is>
          <t>KRONOBERGS LÄN</t>
        </is>
      </c>
      <c r="G255" t="inlineStr">
        <is>
          <t>ÄLMHULT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46257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46257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46257</v>
      </c>
      <c r="F258" t="inlineStr">
        <is>
          <t>KRONOBERGS LÄN</t>
        </is>
      </c>
      <c r="G258" t="inlineStr">
        <is>
          <t>ÄLMHULT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46257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45250</v>
      </c>
      <c r="E260" s="1" t="n">
        <v>46257</v>
      </c>
      <c r="F260" t="inlineStr">
        <is>
          <t>KRONOBERGS LÄN</t>
        </is>
      </c>
      <c r="G260" t="inlineStr">
        <is>
          <t>ÄLMHULT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45251</v>
      </c>
      <c r="E261" s="1" t="n">
        <v>46257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46257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45529</v>
      </c>
      <c r="E263" s="1" t="n">
        <v>46257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46257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46257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46257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46257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46257</v>
      </c>
      <c r="F268" t="inlineStr">
        <is>
          <t>KRONOBERGS LÄN</t>
        </is>
      </c>
      <c r="G268" t="inlineStr">
        <is>
          <t>ÄLMHULT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46257</v>
      </c>
      <c r="F269" t="inlineStr">
        <is>
          <t>KRONOBERGS LÄN</t>
        </is>
      </c>
      <c r="G269" t="inlineStr">
        <is>
          <t>ÄLMHULT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45311</v>
      </c>
      <c r="E270" s="1" t="n">
        <v>46257</v>
      </c>
      <c r="F270" t="inlineStr">
        <is>
          <t>KRONOBERGS LÄN</t>
        </is>
      </c>
      <c r="G270" t="inlineStr">
        <is>
          <t>ÄLMHULT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46257</v>
      </c>
      <c r="F271" t="inlineStr">
        <is>
          <t>KRONOBERGS LÄN</t>
        </is>
      </c>
      <c r="G271" t="inlineStr">
        <is>
          <t>ÄLMHULT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46257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46257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46257</v>
      </c>
      <c r="F274" t="inlineStr">
        <is>
          <t>KRONOBERGS LÄN</t>
        </is>
      </c>
      <c r="G274" t="inlineStr">
        <is>
          <t>ÄLMHULT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46257</v>
      </c>
      <c r="F275" t="inlineStr">
        <is>
          <t>KRONOBERGS LÄN</t>
        </is>
      </c>
      <c r="G275" t="inlineStr">
        <is>
          <t>ÄLMHULT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45384</v>
      </c>
      <c r="E276" s="1" t="n">
        <v>46257</v>
      </c>
      <c r="F276" t="inlineStr">
        <is>
          <t>KRONOBERGS LÄN</t>
        </is>
      </c>
      <c r="G276" t="inlineStr">
        <is>
          <t>ÄLMHULT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45374</v>
      </c>
      <c r="E277" s="1" t="n">
        <v>46257</v>
      </c>
      <c r="F277" t="inlineStr">
        <is>
          <t>KRONOBERGS LÄN</t>
        </is>
      </c>
      <c r="G277" t="inlineStr">
        <is>
          <t>ÄLMHULT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45969</v>
      </c>
      <c r="E278" s="1" t="n">
        <v>46257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46257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46257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45350</v>
      </c>
      <c r="E281" s="1" t="n">
        <v>46257</v>
      </c>
      <c r="F281" t="inlineStr">
        <is>
          <t>KRONOBERGS LÄN</t>
        </is>
      </c>
      <c r="G281" t="inlineStr">
        <is>
          <t>ÄLMHULT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46257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46257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44853</v>
      </c>
      <c r="E284" s="1" t="n">
        <v>46257</v>
      </c>
      <c r="F284" t="inlineStr">
        <is>
          <t>KRONOBERGS LÄN</t>
        </is>
      </c>
      <c r="G284" t="inlineStr">
        <is>
          <t>ÄLMHULT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46257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45290</v>
      </c>
      <c r="E286" s="1" t="n">
        <v>46257</v>
      </c>
      <c r="F286" t="inlineStr">
        <is>
          <t>KRONOBERGS LÄN</t>
        </is>
      </c>
      <c r="G286" t="inlineStr">
        <is>
          <t>ÄLMHULT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46257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45180</v>
      </c>
      <c r="E288" s="1" t="n">
        <v>46257</v>
      </c>
      <c r="F288" t="inlineStr">
        <is>
          <t>KRONOBERGS LÄN</t>
        </is>
      </c>
      <c r="G288" t="inlineStr">
        <is>
          <t>ÄLMHULT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45012</v>
      </c>
      <c r="E289" s="1" t="n">
        <v>46257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46257</v>
      </c>
      <c r="F290" t="inlineStr">
        <is>
          <t>KRONOBERGS LÄN</t>
        </is>
      </c>
      <c r="G290" t="inlineStr">
        <is>
          <t>ÄLMHULT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46257</v>
      </c>
      <c r="F291" t="inlineStr">
        <is>
          <t>KRONOBERGS LÄN</t>
        </is>
      </c>
      <c r="G291" t="inlineStr">
        <is>
          <t>ÄLMHULT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46257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46257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45707</v>
      </c>
      <c r="E294" s="1" t="n">
        <v>46257</v>
      </c>
      <c r="F294" t="inlineStr">
        <is>
          <t>KRONOBERGS LÄN</t>
        </is>
      </c>
      <c r="G294" t="inlineStr">
        <is>
          <t>ÄLMHULT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46257</v>
      </c>
      <c r="F295" t="inlineStr">
        <is>
          <t>KRONOBERGS LÄN</t>
        </is>
      </c>
      <c r="G295" t="inlineStr">
        <is>
          <t>ÄLMHULT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46257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46257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46257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44859</v>
      </c>
      <c r="E299" s="1" t="n">
        <v>46257</v>
      </c>
      <c r="F299" t="inlineStr">
        <is>
          <t>KRONOBERGS LÄN</t>
        </is>
      </c>
      <c r="G299" t="inlineStr">
        <is>
          <t>ÄLMHULT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46257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46257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46257</v>
      </c>
      <c r="F302" t="inlineStr">
        <is>
          <t>KRONOBERGS LÄN</t>
        </is>
      </c>
      <c r="G302" t="inlineStr">
        <is>
          <t>ÄLMHULT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44942</v>
      </c>
      <c r="E303" s="1" t="n">
        <v>46257</v>
      </c>
      <c r="F303" t="inlineStr">
        <is>
          <t>KRONOBERGS LÄN</t>
        </is>
      </c>
      <c r="G303" t="inlineStr">
        <is>
          <t>ÄLMHULT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46257</v>
      </c>
      <c r="F304" t="inlineStr">
        <is>
          <t>KRONOBERGS LÄN</t>
        </is>
      </c>
      <c r="G304" t="inlineStr">
        <is>
          <t>ÄLMHULT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45061</v>
      </c>
      <c r="E305" s="1" t="n">
        <v>46257</v>
      </c>
      <c r="F305" t="inlineStr">
        <is>
          <t>KRONOBERGS LÄN</t>
        </is>
      </c>
      <c r="G305" t="inlineStr">
        <is>
          <t>ÄLMHULT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46257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46257</v>
      </c>
      <c r="F307" t="inlineStr">
        <is>
          <t>KRONOBERGS LÄN</t>
        </is>
      </c>
      <c r="G307" t="inlineStr">
        <is>
          <t>ÄLMHULT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44897</v>
      </c>
      <c r="E308" s="1" t="n">
        <v>46257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46257</v>
      </c>
      <c r="F309" t="inlineStr">
        <is>
          <t>KRONOBERGS LÄN</t>
        </is>
      </c>
      <c r="G309" t="inlineStr">
        <is>
          <t>ÄLMHULT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46257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45015</v>
      </c>
      <c r="E311" s="1" t="n">
        <v>46257</v>
      </c>
      <c r="F311" t="inlineStr">
        <is>
          <t>KRONOBERGS LÄN</t>
        </is>
      </c>
      <c r="G311" t="inlineStr">
        <is>
          <t>ÄLMHULT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56955-2024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45628</v>
      </c>
      <c r="E312" s="1" t="n">
        <v>46257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46257</v>
      </c>
      <c r="F313" t="inlineStr">
        <is>
          <t>KRONOBERGS LÄN</t>
        </is>
      </c>
      <c r="G313" t="inlineStr">
        <is>
          <t>ÄLMHULT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45352</v>
      </c>
      <c r="E314" s="1" t="n">
        <v>46257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45513</v>
      </c>
      <c r="E315" s="1" t="n">
        <v>46257</v>
      </c>
      <c r="F315" t="inlineStr">
        <is>
          <t>KRONOBERGS LÄN</t>
        </is>
      </c>
      <c r="G315" t="inlineStr">
        <is>
          <t>ÄLMHULT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46257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46257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46257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46257</v>
      </c>
      <c r="F319" t="inlineStr">
        <is>
          <t>KRONOBERGS LÄN</t>
        </is>
      </c>
      <c r="G319" t="inlineStr">
        <is>
          <t>ÄLMHULT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45680</v>
      </c>
      <c r="E320" s="1" t="n">
        <v>46257</v>
      </c>
      <c r="F320" t="inlineStr">
        <is>
          <t>KRONOBERGS LÄN</t>
        </is>
      </c>
      <c r="G320" t="inlineStr">
        <is>
          <t>ÄLMHULT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59771-2025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45992</v>
      </c>
      <c r="E321" s="1" t="n">
        <v>46257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46257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59780-2025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45992</v>
      </c>
      <c r="E323" s="1" t="n">
        <v>46257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46257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46257</v>
      </c>
      <c r="F325" t="inlineStr">
        <is>
          <t>KRONOBERGS LÄN</t>
        </is>
      </c>
      <c r="G325" t="inlineStr">
        <is>
          <t>ÄLMHULT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46257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44853</v>
      </c>
      <c r="E327" s="1" t="n">
        <v>46257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46257</v>
      </c>
      <c r="F328" t="inlineStr">
        <is>
          <t>KRONOBERGS LÄN</t>
        </is>
      </c>
      <c r="G328" t="inlineStr">
        <is>
          <t>ÄLMHULT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46257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45589</v>
      </c>
      <c r="E330" s="1" t="n">
        <v>46257</v>
      </c>
      <c r="F330" t="inlineStr">
        <is>
          <t>KRONOBERGS LÄN</t>
        </is>
      </c>
      <c r="G330" t="inlineStr">
        <is>
          <t>ÄLMHULT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46257</v>
      </c>
      <c r="F331" t="inlineStr">
        <is>
          <t>KRONOBERGS LÄN</t>
        </is>
      </c>
      <c r="G331" t="inlineStr">
        <is>
          <t>ÄLMHULT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46257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46257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46257</v>
      </c>
      <c r="F334" t="inlineStr">
        <is>
          <t>KRONOBERGS LÄN</t>
        </is>
      </c>
      <c r="G334" t="inlineStr">
        <is>
          <t>ÄLMHULT</t>
        </is>
      </c>
      <c r="H334" t="inlineStr">
        <is>
          <t>Kommuner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46257</v>
      </c>
      <c r="F335" t="inlineStr">
        <is>
          <t>KRONOBERGS LÄN</t>
        </is>
      </c>
      <c r="G335" t="inlineStr">
        <is>
          <t>ÄLMHULT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46257</v>
      </c>
      <c r="F336" t="inlineStr">
        <is>
          <t>KRONOBERGS LÄN</t>
        </is>
      </c>
      <c r="G336" t="inlineStr">
        <is>
          <t>ÄLMHULT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46257</v>
      </c>
      <c r="F337" t="inlineStr">
        <is>
          <t>KRONOBERGS LÄN</t>
        </is>
      </c>
      <c r="G337" t="inlineStr">
        <is>
          <t>ÄLMHULT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46257</v>
      </c>
      <c r="F338" t="inlineStr">
        <is>
          <t>KRONOBERGS LÄN</t>
        </is>
      </c>
      <c r="G338" t="inlineStr">
        <is>
          <t>ÄLMHULT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46257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46257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45680</v>
      </c>
      <c r="E341" s="1" t="n">
        <v>46257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46257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45412</v>
      </c>
      <c r="E343" s="1" t="n">
        <v>46257</v>
      </c>
      <c r="F343" t="inlineStr">
        <is>
          <t>KRONOBERGS LÄN</t>
        </is>
      </c>
      <c r="G343" t="inlineStr">
        <is>
          <t>ÄLMHULT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46257</v>
      </c>
      <c r="F344" t="inlineStr">
        <is>
          <t>KRONOBERGS LÄN</t>
        </is>
      </c>
      <c r="G344" t="inlineStr">
        <is>
          <t>ÄLMHULT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46257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46257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45421</v>
      </c>
      <c r="E347" s="1" t="n">
        <v>46257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46257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46257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45558</v>
      </c>
      <c r="E350" s="1" t="n">
        <v>46257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46257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46005</v>
      </c>
      <c r="E352" s="1" t="n">
        <v>46257</v>
      </c>
      <c r="F352" t="inlineStr">
        <is>
          <t>KRONOBERGS LÄN</t>
        </is>
      </c>
      <c r="G352" t="inlineStr">
        <is>
          <t>ÄLMHULT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46257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46257</v>
      </c>
      <c r="F354" t="inlineStr">
        <is>
          <t>KRONOBERGS LÄN</t>
        </is>
      </c>
      <c r="G354" t="inlineStr">
        <is>
          <t>ÄLMHULT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46257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46257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45680</v>
      </c>
      <c r="E357" s="1" t="n">
        <v>46257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46257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46257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46257</v>
      </c>
      <c r="F360" t="inlineStr">
        <is>
          <t>KRONOBERGS LÄN</t>
        </is>
      </c>
      <c r="G360" t="inlineStr">
        <is>
          <t>ÄLMHULT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27334-2025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45812</v>
      </c>
      <c r="E361" s="1" t="n">
        <v>46257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45078</v>
      </c>
      <c r="E362" s="1" t="n">
        <v>46257</v>
      </c>
      <c r="F362" t="inlineStr">
        <is>
          <t>KRONOBERGS LÄN</t>
        </is>
      </c>
      <c r="G362" t="inlineStr">
        <is>
          <t>ÄLMHULT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46257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45068</v>
      </c>
      <c r="E364" s="1" t="n">
        <v>46257</v>
      </c>
      <c r="F364" t="inlineStr">
        <is>
          <t>KRONOBERGS LÄN</t>
        </is>
      </c>
      <c r="G364" t="inlineStr">
        <is>
          <t>ÄLMHULT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45631</v>
      </c>
      <c r="E365" s="1" t="n">
        <v>46257</v>
      </c>
      <c r="F365" t="inlineStr">
        <is>
          <t>KRONOBERGS LÄN</t>
        </is>
      </c>
      <c r="G365" t="inlineStr">
        <is>
          <t>ÄLMHULT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46257</v>
      </c>
      <c r="F366" t="inlineStr">
        <is>
          <t>KRONOBERGS LÄN</t>
        </is>
      </c>
      <c r="G366" t="inlineStr">
        <is>
          <t>ÄLMHULT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46257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55629-2021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44476</v>
      </c>
      <c r="E368" s="1" t="n">
        <v>46257</v>
      </c>
      <c r="F368" t="inlineStr">
        <is>
          <t>KRONOBERGS LÄN</t>
        </is>
      </c>
      <c r="G368" t="inlineStr">
        <is>
          <t>ÄLMHULT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63742-2025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46016</v>
      </c>
      <c r="E369" s="1" t="n">
        <v>46257</v>
      </c>
      <c r="F369" t="inlineStr">
        <is>
          <t>KRONOBERGS LÄN</t>
        </is>
      </c>
      <c r="G369" t="inlineStr">
        <is>
          <t>ÄLMHULT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45581</v>
      </c>
      <c r="E370" s="1" t="n">
        <v>46257</v>
      </c>
      <c r="F370" t="inlineStr">
        <is>
          <t>KRONOBERGS LÄN</t>
        </is>
      </c>
      <c r="G370" t="inlineStr">
        <is>
          <t>ÄLMHULT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46257</v>
      </c>
      <c r="F371" t="inlineStr">
        <is>
          <t>KRONOBERGS LÄN</t>
        </is>
      </c>
      <c r="G371" t="inlineStr">
        <is>
          <t>ÄLMHULT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44921</v>
      </c>
      <c r="E372" s="1" t="n">
        <v>46257</v>
      </c>
      <c r="F372" t="inlineStr">
        <is>
          <t>KRONOBERGS LÄN</t>
        </is>
      </c>
      <c r="G372" t="inlineStr">
        <is>
          <t>ÄLMHULT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45145</v>
      </c>
      <c r="E373" s="1" t="n">
        <v>46257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45352</v>
      </c>
      <c r="E374" s="1" t="n">
        <v>46257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46257</v>
      </c>
      <c r="F375" t="inlineStr">
        <is>
          <t>KRONOBERGS LÄN</t>
        </is>
      </c>
      <c r="G375" t="inlineStr">
        <is>
          <t>ÄLMHULT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45228</v>
      </c>
      <c r="E376" s="1" t="n">
        <v>46257</v>
      </c>
      <c r="F376" t="inlineStr">
        <is>
          <t>KRONOBERGS LÄN</t>
        </is>
      </c>
      <c r="G376" t="inlineStr">
        <is>
          <t>ÄLMHULT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46257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45698</v>
      </c>
      <c r="E378" s="1" t="n">
        <v>46257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42014-2023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45177</v>
      </c>
      <c r="E379" s="1" t="n">
        <v>46257</v>
      </c>
      <c r="F379" t="inlineStr">
        <is>
          <t>KRONOBERGS LÄN</t>
        </is>
      </c>
      <c r="G379" t="inlineStr">
        <is>
          <t>ÄLMHULT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46257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11014-2023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44986</v>
      </c>
      <c r="E381" s="1" t="n">
        <v>46257</v>
      </c>
      <c r="F381" t="inlineStr">
        <is>
          <t>KRONOBERGS LÄN</t>
        </is>
      </c>
      <c r="G381" t="inlineStr">
        <is>
          <t>ÄLMHULT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60876-2022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44914</v>
      </c>
      <c r="E382" s="1" t="n">
        <v>46257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46257</v>
      </c>
      <c r="F383" t="inlineStr">
        <is>
          <t>KRONOBERGS LÄN</t>
        </is>
      </c>
      <c r="G383" t="inlineStr">
        <is>
          <t>ÄLMHULT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46257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46257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46257</v>
      </c>
      <c r="F386" t="inlineStr">
        <is>
          <t>KRONOBERGS LÄN</t>
        </is>
      </c>
      <c r="G386" t="inlineStr">
        <is>
          <t>ÄLMHULT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46257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44503</v>
      </c>
      <c r="E388" s="1" t="n">
        <v>46257</v>
      </c>
      <c r="F388" t="inlineStr">
        <is>
          <t>KRONOBERGS LÄN</t>
        </is>
      </c>
      <c r="G388" t="inlineStr">
        <is>
          <t>ÄLMHULT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46257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46257</v>
      </c>
      <c r="F390" t="inlineStr">
        <is>
          <t>KRONOBERGS LÄN</t>
        </is>
      </c>
      <c r="G390" t="inlineStr">
        <is>
          <t>ÄLMHULT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46257</v>
      </c>
      <c r="F391" t="inlineStr">
        <is>
          <t>KRONOBERGS LÄN</t>
        </is>
      </c>
      <c r="G391" t="inlineStr">
        <is>
          <t>ÄLMHULT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45081</v>
      </c>
      <c r="E392" s="1" t="n">
        <v>46257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46257</v>
      </c>
      <c r="F393" t="inlineStr">
        <is>
          <t>KRONOBERGS LÄN</t>
        </is>
      </c>
      <c r="G393" t="inlineStr">
        <is>
          <t>ÄLMHULT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46257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46257</v>
      </c>
      <c r="F395" t="inlineStr">
        <is>
          <t>KRONOBERGS LÄN</t>
        </is>
      </c>
      <c r="G395" t="inlineStr">
        <is>
          <t>ÄLMHULT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46257</v>
      </c>
      <c r="F396" t="inlineStr">
        <is>
          <t>KRONOBERGS LÄN</t>
        </is>
      </c>
      <c r="G396" t="inlineStr">
        <is>
          <t>ÄLMHULT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46257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45595</v>
      </c>
      <c r="E398" s="1" t="n">
        <v>46257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46257</v>
      </c>
      <c r="F399" t="inlineStr">
        <is>
          <t>KRONOBERGS LÄN</t>
        </is>
      </c>
      <c r="G399" t="inlineStr">
        <is>
          <t>ÄLMHULT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13801-2024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45391</v>
      </c>
      <c r="E400" s="1" t="n">
        <v>46257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38812-2024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46257</v>
      </c>
      <c r="F401" t="inlineStr">
        <is>
          <t>KRONOBERGS LÄN</t>
        </is>
      </c>
      <c r="G401" t="inlineStr">
        <is>
          <t>ÄLMHULT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46257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46257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46257</v>
      </c>
      <c r="F404" t="inlineStr">
        <is>
          <t>KRONOBERGS LÄN</t>
        </is>
      </c>
      <c r="G404" t="inlineStr">
        <is>
          <t>ÄLMHULT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46257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45078</v>
      </c>
      <c r="E406" s="1" t="n">
        <v>46257</v>
      </c>
      <c r="F406" t="inlineStr">
        <is>
          <t>KRONOBERGS LÄN</t>
        </is>
      </c>
      <c r="G406" t="inlineStr">
        <is>
          <t>ÄLMHULT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45078</v>
      </c>
      <c r="E407" s="1" t="n">
        <v>46257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46257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46257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46257</v>
      </c>
      <c r="F410" t="inlineStr">
        <is>
          <t>KRONOBERGS LÄN</t>
        </is>
      </c>
      <c r="G410" t="inlineStr">
        <is>
          <t>ÄLMHULT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45564</v>
      </c>
      <c r="E411" s="1" t="n">
        <v>46257</v>
      </c>
      <c r="F411" t="inlineStr">
        <is>
          <t>KRONOBERGS LÄN</t>
        </is>
      </c>
      <c r="G411" t="inlineStr">
        <is>
          <t>ÄLMHULT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45010</v>
      </c>
      <c r="E412" s="1" t="n">
        <v>46257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46257</v>
      </c>
      <c r="F413" t="inlineStr">
        <is>
          <t>KRONOBERGS LÄN</t>
        </is>
      </c>
      <c r="G413" t="inlineStr">
        <is>
          <t>ÄLMHULT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46257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46257</v>
      </c>
      <c r="F415" t="inlineStr">
        <is>
          <t>KRONOBERGS LÄN</t>
        </is>
      </c>
      <c r="G415" t="inlineStr">
        <is>
          <t>ÄLMHULT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45214</v>
      </c>
      <c r="E416" s="1" t="n">
        <v>46257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46257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46257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28026-2024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45476</v>
      </c>
      <c r="E419" s="1" t="n">
        <v>46257</v>
      </c>
      <c r="F419" t="inlineStr">
        <is>
          <t>KRONOBERGS LÄN</t>
        </is>
      </c>
      <c r="G419" t="inlineStr">
        <is>
          <t>ÄLMHULT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46257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46257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46257</v>
      </c>
      <c r="F422" t="inlineStr">
        <is>
          <t>KRONOBERGS LÄN</t>
        </is>
      </c>
      <c r="G422" t="inlineStr">
        <is>
          <t>ÄLMHULT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46257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46216</v>
      </c>
      <c r="E424" s="1" t="n">
        <v>46257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46257</v>
      </c>
      <c r="F425" t="inlineStr">
        <is>
          <t>KRONOBERGS LÄN</t>
        </is>
      </c>
      <c r="G425" t="inlineStr">
        <is>
          <t>ÄLMHULT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46257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45355</v>
      </c>
      <c r="E427" s="1" t="n">
        <v>46257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46257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46257</v>
      </c>
      <c r="F429" t="inlineStr">
        <is>
          <t>KRONOBERGS LÄN</t>
        </is>
      </c>
      <c r="G429" t="inlineStr">
        <is>
          <t>ÄLMHULT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45175</v>
      </c>
      <c r="E430" s="1" t="n">
        <v>46257</v>
      </c>
      <c r="F430" t="inlineStr">
        <is>
          <t>KRONOBERGS LÄN</t>
        </is>
      </c>
      <c r="G430" t="inlineStr">
        <is>
          <t>ÄLMHULT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41577-2023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45175</v>
      </c>
      <c r="E431" s="1" t="n">
        <v>46257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45286</v>
      </c>
      <c r="E432" s="1" t="n">
        <v>46257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45911</v>
      </c>
      <c r="E433" s="1" t="n">
        <v>46257</v>
      </c>
      <c r="F433" t="inlineStr">
        <is>
          <t>KRONOBERGS LÄN</t>
        </is>
      </c>
      <c r="G433" t="inlineStr">
        <is>
          <t>ÄLMHULT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46257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46257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46257</v>
      </c>
      <c r="F436" t="inlineStr">
        <is>
          <t>KRONOBERGS LÄN</t>
        </is>
      </c>
      <c r="G436" t="inlineStr">
        <is>
          <t>ÄLMHULT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46257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46063</v>
      </c>
      <c r="E438" s="1" t="n">
        <v>46257</v>
      </c>
      <c r="F438" t="inlineStr">
        <is>
          <t>KRONOBERGS LÄN</t>
        </is>
      </c>
      <c r="G438" t="inlineStr">
        <is>
          <t>ÄLMHULT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46257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46257</v>
      </c>
      <c r="F440" t="inlineStr">
        <is>
          <t>KRONOBERGS LÄN</t>
        </is>
      </c>
      <c r="G440" t="inlineStr">
        <is>
          <t>ÄLMHULT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46257</v>
      </c>
      <c r="F441" t="inlineStr">
        <is>
          <t>KRONOBERGS LÄN</t>
        </is>
      </c>
      <c r="G441" t="inlineStr">
        <is>
          <t>ÄLMHULT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46061</v>
      </c>
      <c r="E442" s="1" t="n">
        <v>46257</v>
      </c>
      <c r="F442" t="inlineStr">
        <is>
          <t>KRONOBERGS LÄN</t>
        </is>
      </c>
      <c r="G442" t="inlineStr">
        <is>
          <t>ÄLMHULT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46257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45653</v>
      </c>
      <c r="E444" s="1" t="n">
        <v>46257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68212-2021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44526</v>
      </c>
      <c r="E445" s="1" t="n">
        <v>46257</v>
      </c>
      <c r="F445" t="inlineStr">
        <is>
          <t>KRONOBERGS LÄN</t>
        </is>
      </c>
      <c r="G445" t="inlineStr">
        <is>
          <t>ÄLMHULT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8632-2026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46257</v>
      </c>
      <c r="F446" t="inlineStr">
        <is>
          <t>KRONOBERGS LÄN</t>
        </is>
      </c>
      <c r="G446" t="inlineStr">
        <is>
          <t>ÄLMHULT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53203-2024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45612</v>
      </c>
      <c r="E447" s="1" t="n">
        <v>46257</v>
      </c>
      <c r="F447" t="inlineStr">
        <is>
          <t>KRONOBERGS LÄN</t>
        </is>
      </c>
      <c r="G447" t="inlineStr">
        <is>
          <t>ÄLMHULT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45625</v>
      </c>
      <c r="E448" s="1" t="n">
        <v>46257</v>
      </c>
      <c r="F448" t="inlineStr">
        <is>
          <t>KRONOBERGS LÄN</t>
        </is>
      </c>
      <c r="G448" t="inlineStr">
        <is>
          <t>ÄLMHULT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46257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46257</v>
      </c>
      <c r="F450" t="inlineStr">
        <is>
          <t>KRONOBERGS LÄN</t>
        </is>
      </c>
      <c r="G450" t="inlineStr">
        <is>
          <t>ÄLMHULT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46257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46257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46257</v>
      </c>
      <c r="F453" t="inlineStr">
        <is>
          <t>KRONOBERGS LÄN</t>
        </is>
      </c>
      <c r="G453" t="inlineStr">
        <is>
          <t>ÄLMHULT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46257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46257</v>
      </c>
      <c r="F455" t="inlineStr">
        <is>
          <t>KRONOBERGS LÄN</t>
        </is>
      </c>
      <c r="G455" t="inlineStr">
        <is>
          <t>ÄLMHULT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46257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45748</v>
      </c>
      <c r="E457" s="1" t="n">
        <v>46257</v>
      </c>
      <c r="F457" t="inlineStr">
        <is>
          <t>KRONOBERGS LÄN</t>
        </is>
      </c>
      <c r="G457" t="inlineStr">
        <is>
          <t>ÄLMHULT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30322-2025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45827</v>
      </c>
      <c r="E458" s="1" t="n">
        <v>46257</v>
      </c>
      <c r="F458" t="inlineStr">
        <is>
          <t>KRONOBERGS LÄN</t>
        </is>
      </c>
      <c r="G458" t="inlineStr">
        <is>
          <t>ÄLMHULT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45378</v>
      </c>
      <c r="E459" s="1" t="n">
        <v>46257</v>
      </c>
      <c r="F459" t="inlineStr">
        <is>
          <t>KRONOBERGS LÄN</t>
        </is>
      </c>
      <c r="G459" t="inlineStr">
        <is>
          <t>ÄLMHULT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45141</v>
      </c>
      <c r="E460" s="1" t="n">
        <v>46257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46257</v>
      </c>
      <c r="F461" t="inlineStr">
        <is>
          <t>KRONOBERGS LÄN</t>
        </is>
      </c>
      <c r="G461" t="inlineStr">
        <is>
          <t>ÄLMHULT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46257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46257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46257</v>
      </c>
      <c r="F464" t="inlineStr">
        <is>
          <t>KRONOBERGS LÄN</t>
        </is>
      </c>
      <c r="G464" t="inlineStr">
        <is>
          <t>ÄLMHULT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46257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46257</v>
      </c>
      <c r="F466" t="inlineStr">
        <is>
          <t>KRONOBERGS LÄN</t>
        </is>
      </c>
      <c r="G466" t="inlineStr">
        <is>
          <t>ÄLMHULT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46257</v>
      </c>
      <c r="F467" t="inlineStr">
        <is>
          <t>KRONOBERGS LÄN</t>
        </is>
      </c>
      <c r="G467" t="inlineStr">
        <is>
          <t>ÄLMHULT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46257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46257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46227</v>
      </c>
      <c r="E470" s="1" t="n">
        <v>46257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46257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46257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50183-2022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46257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46257</v>
      </c>
      <c r="F474" t="inlineStr">
        <is>
          <t>KRONOBERGS LÄN</t>
        </is>
      </c>
      <c r="G474" t="inlineStr">
        <is>
          <t>ÄLMHULT</t>
        </is>
      </c>
      <c r="I474" t="n">
        <v>29.1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46257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46257</v>
      </c>
      <c r="F476" t="inlineStr">
        <is>
          <t>KRONOBERGS LÄN</t>
        </is>
      </c>
      <c r="G476" t="inlineStr">
        <is>
          <t>ÄLMHULT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46257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46257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44687</v>
      </c>
      <c r="E479" s="1" t="n">
        <v>46257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45467</v>
      </c>
      <c r="E480" s="1" t="n">
        <v>46257</v>
      </c>
      <c r="F480" t="inlineStr">
        <is>
          <t>KRONOBERGS LÄN</t>
        </is>
      </c>
      <c r="G480" t="inlineStr">
        <is>
          <t>ÄLMHULT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46257</v>
      </c>
      <c r="F481" t="inlineStr">
        <is>
          <t>KRONOBERGS LÄN</t>
        </is>
      </c>
      <c r="G481" t="inlineStr">
        <is>
          <t>ÄLMHULT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46257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46257</v>
      </c>
      <c r="F483" t="inlineStr">
        <is>
          <t>KRONOBERGS LÄN</t>
        </is>
      </c>
      <c r="G483" t="inlineStr">
        <is>
          <t>ÄLMHULT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45450</v>
      </c>
      <c r="E484" s="1" t="n">
        <v>46257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46257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46257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46257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32126-2026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46234</v>
      </c>
      <c r="E488" s="1" t="n">
        <v>46257</v>
      </c>
      <c r="F488" t="inlineStr">
        <is>
          <t>KRONOBERGS LÄN</t>
        </is>
      </c>
      <c r="G488" t="inlineStr">
        <is>
          <t>ÄLMHULT</t>
        </is>
      </c>
      <c r="H488" t="inlineStr">
        <is>
          <t>Kommuner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46257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46257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46257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10.2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46257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46257</v>
      </c>
      <c r="F493" t="inlineStr">
        <is>
          <t>KRONOBERGS LÄN</t>
        </is>
      </c>
      <c r="G493" t="inlineStr">
        <is>
          <t>ÄLMHULT</t>
        </is>
      </c>
      <c r="H493" t="inlineStr">
        <is>
          <t>Sveaskog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46257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15.3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46257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46257</v>
      </c>
      <c r="F496" t="inlineStr">
        <is>
          <t>KRONOBERGS LÄN</t>
        </is>
      </c>
      <c r="G496" t="inlineStr">
        <is>
          <t>ÄLMHULT</t>
        </is>
      </c>
      <c r="H496" t="inlineStr">
        <is>
          <t>Sveaskog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15859-2026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46257</v>
      </c>
      <c r="F497" t="inlineStr">
        <is>
          <t>KRONOBERGS LÄN</t>
        </is>
      </c>
      <c r="G497" t="inlineStr">
        <is>
          <t>ÄLMHULT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46257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45051</v>
      </c>
      <c r="E499" s="1" t="n">
        <v>46257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46257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16137-2026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46108</v>
      </c>
      <c r="E501" s="1" t="n">
        <v>46257</v>
      </c>
      <c r="F501" t="inlineStr">
        <is>
          <t>KRONOBERGS LÄN</t>
        </is>
      </c>
      <c r="G501" t="inlineStr">
        <is>
          <t>ÄLMHULT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45078</v>
      </c>
      <c r="E502" s="1" t="n">
        <v>46257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46257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46257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46257</v>
      </c>
      <c r="F505" t="inlineStr">
        <is>
          <t>KRONOBERGS LÄN</t>
        </is>
      </c>
      <c r="G505" t="inlineStr">
        <is>
          <t>ÄLMHULT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46257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46257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46257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46257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46257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46257</v>
      </c>
      <c r="F511" t="inlineStr">
        <is>
          <t>KRONOBERGS LÄN</t>
        </is>
      </c>
      <c r="G511" t="inlineStr">
        <is>
          <t>ÄLMHULT</t>
        </is>
      </c>
      <c r="H511" t="inlineStr">
        <is>
          <t>Kyrkan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46257</v>
      </c>
      <c r="F512" t="inlineStr">
        <is>
          <t>KRONOBERGS LÄN</t>
        </is>
      </c>
      <c r="G512" t="inlineStr">
        <is>
          <t>ÄLMHULT</t>
        </is>
      </c>
      <c r="I512" t="n">
        <v>11.5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46257</v>
      </c>
      <c r="F513" t="inlineStr">
        <is>
          <t>KRONOBERGS LÄN</t>
        </is>
      </c>
      <c r="G513" t="inlineStr">
        <is>
          <t>ÄLMHULT</t>
        </is>
      </c>
      <c r="H513" t="inlineStr">
        <is>
          <t>Kyrkan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46257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46257</v>
      </c>
      <c r="F515" t="inlineStr">
        <is>
          <t>KRONOBERGS LÄN</t>
        </is>
      </c>
      <c r="G515" t="inlineStr">
        <is>
          <t>ÄLMHULT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46257</v>
      </c>
      <c r="F516" t="inlineStr">
        <is>
          <t>KRONOBERGS LÄN</t>
        </is>
      </c>
      <c r="G516" t="inlineStr">
        <is>
          <t>ÄLMHULT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44858</v>
      </c>
      <c r="E517" s="1" t="n">
        <v>46257</v>
      </c>
      <c r="F517" t="inlineStr">
        <is>
          <t>KRONOBERGS LÄN</t>
        </is>
      </c>
      <c r="G517" t="inlineStr">
        <is>
          <t>ÄLMHULT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46257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45609</v>
      </c>
      <c r="E519" s="1" t="n">
        <v>46257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46257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69444-2021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44531</v>
      </c>
      <c r="E521" s="1" t="n">
        <v>46257</v>
      </c>
      <c r="F521" t="inlineStr">
        <is>
          <t>KRONOBERGS LÄN</t>
        </is>
      </c>
      <c r="G521" t="inlineStr">
        <is>
          <t>ÄLMHULT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46257</v>
      </c>
      <c r="F522" t="inlineStr">
        <is>
          <t>KRONOBERGS LÄN</t>
        </is>
      </c>
      <c r="G522" t="inlineStr">
        <is>
          <t>ÄLMHULT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46257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46257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45679</v>
      </c>
      <c r="E525" s="1" t="n">
        <v>46257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44859</v>
      </c>
      <c r="E526" s="1" t="n">
        <v>46257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69454-2021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46257</v>
      </c>
      <c r="F527" t="inlineStr">
        <is>
          <t>KRONOBERGS LÄN</t>
        </is>
      </c>
      <c r="G527" t="inlineStr">
        <is>
          <t>ÄLMHULT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46257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22415-2024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45446</v>
      </c>
      <c r="E529" s="1" t="n">
        <v>46257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46257</v>
      </c>
      <c r="F530" t="inlineStr">
        <is>
          <t>KRONOBERGS LÄN</t>
        </is>
      </c>
      <c r="G530" t="inlineStr">
        <is>
          <t>ÄLMHULT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46257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46257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46257</v>
      </c>
      <c r="F533" t="inlineStr">
        <is>
          <t>KRONOBERGS LÄN</t>
        </is>
      </c>
      <c r="G533" t="inlineStr">
        <is>
          <t>ÄLMHULT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46257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46257</v>
      </c>
      <c r="F535" t="inlineStr">
        <is>
          <t>KRONOBERGS LÄN</t>
        </is>
      </c>
      <c r="G535" t="inlineStr">
        <is>
          <t>ÄLMHULT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46257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46257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46257</v>
      </c>
      <c r="F538" t="inlineStr">
        <is>
          <t>KRONOBERGS LÄN</t>
        </is>
      </c>
      <c r="G538" t="inlineStr">
        <is>
          <t>ÄLMHULT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46257</v>
      </c>
      <c r="F539" t="inlineStr">
        <is>
          <t>KRONOBERGS LÄN</t>
        </is>
      </c>
      <c r="G539" t="inlineStr">
        <is>
          <t>ÄLMHULT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46257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61414-2025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46257</v>
      </c>
      <c r="F541" t="inlineStr">
        <is>
          <t>KRONOBERGS LÄN</t>
        </is>
      </c>
      <c r="G541" t="inlineStr">
        <is>
          <t>ÄLMHULT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44587</v>
      </c>
      <c r="E542" s="1" t="n">
        <v>46257</v>
      </c>
      <c r="F542" t="inlineStr">
        <is>
          <t>KRONOBERGS LÄN</t>
        </is>
      </c>
      <c r="G542" t="inlineStr">
        <is>
          <t>ÄLMHULT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46257</v>
      </c>
      <c r="F543" t="inlineStr">
        <is>
          <t>KRONOBERGS LÄN</t>
        </is>
      </c>
      <c r="G543" t="inlineStr">
        <is>
          <t>ÄLMHULT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45770</v>
      </c>
      <c r="E544" s="1" t="n">
        <v>46257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44582</v>
      </c>
      <c r="E545" s="1" t="n">
        <v>46257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45759</v>
      </c>
      <c r="E546" s="1" t="n">
        <v>46257</v>
      </c>
      <c r="F546" t="inlineStr">
        <is>
          <t>KRONOBERGS LÄN</t>
        </is>
      </c>
      <c r="G546" t="inlineStr">
        <is>
          <t>ÄLMHULT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39573-2023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45167</v>
      </c>
      <c r="E547" s="1" t="n">
        <v>46257</v>
      </c>
      <c r="F547" t="inlineStr">
        <is>
          <t>KRONOBERGS LÄN</t>
        </is>
      </c>
      <c r="G547" t="inlineStr">
        <is>
          <t>ÄLMHULT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46257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46257</v>
      </c>
      <c r="F549" t="inlineStr">
        <is>
          <t>KRONOBERGS LÄN</t>
        </is>
      </c>
      <c r="G549" t="inlineStr">
        <is>
          <t>ÄLMHULT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46257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45722</v>
      </c>
      <c r="E551" s="1" t="n">
        <v>46257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46257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46257</v>
      </c>
      <c r="F553" t="inlineStr">
        <is>
          <t>KRONOBERGS LÄN</t>
        </is>
      </c>
      <c r="G553" t="inlineStr">
        <is>
          <t>ÄLMHULT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46257</v>
      </c>
      <c r="F554" t="inlineStr">
        <is>
          <t>KRONOBERGS LÄN</t>
        </is>
      </c>
      <c r="G554" t="inlineStr">
        <is>
          <t>ÄLMHULT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48145-2021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44449</v>
      </c>
      <c r="E555" s="1" t="n">
        <v>46257</v>
      </c>
      <c r="F555" t="inlineStr">
        <is>
          <t>KRONOBERGS LÄN</t>
        </is>
      </c>
      <c r="G555" t="inlineStr">
        <is>
          <t>ÄLMHULT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45930</v>
      </c>
      <c r="E556" s="1" t="n">
        <v>46257</v>
      </c>
      <c r="F556" t="inlineStr">
        <is>
          <t>KRONOBERGS LÄN</t>
        </is>
      </c>
      <c r="G556" t="inlineStr">
        <is>
          <t>ÄLMHULT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57501-2024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46257</v>
      </c>
      <c r="F557" t="inlineStr">
        <is>
          <t>KRONOBERGS LÄN</t>
        </is>
      </c>
      <c r="G557" t="inlineStr">
        <is>
          <t>ÄLMHULT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46257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45583</v>
      </c>
      <c r="E559" s="1" t="n">
        <v>46257</v>
      </c>
      <c r="F559" t="inlineStr">
        <is>
          <t>KRONOBERGS LÄN</t>
        </is>
      </c>
      <c r="G559" t="inlineStr">
        <is>
          <t>ÄLMHULT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46248</v>
      </c>
      <c r="E560" s="1" t="n">
        <v>46257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45733</v>
      </c>
      <c r="E561" s="1" t="n">
        <v>46257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46257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46257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46257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45537</v>
      </c>
      <c r="E565" s="1" t="n">
        <v>46257</v>
      </c>
      <c r="F565" t="inlineStr">
        <is>
          <t>KRONOBERGS LÄN</t>
        </is>
      </c>
      <c r="G565" t="inlineStr">
        <is>
          <t>ÄLMHULT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45401</v>
      </c>
      <c r="E566" s="1" t="n">
        <v>46257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45531</v>
      </c>
      <c r="E567" s="1" t="n">
        <v>46257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46257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46257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46257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46257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46257</v>
      </c>
      <c r="F572" t="inlineStr">
        <is>
          <t>KRONOBERGS LÄN</t>
        </is>
      </c>
      <c r="G572" t="inlineStr">
        <is>
          <t>ÄLMHULT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46257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45887</v>
      </c>
      <c r="E574" s="1" t="n">
        <v>46257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46257</v>
      </c>
      <c r="F575" t="inlineStr">
        <is>
          <t>KRONOBERGS LÄN</t>
        </is>
      </c>
      <c r="G575" t="inlineStr">
        <is>
          <t>ÄLMHULT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46257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68189-2021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44526</v>
      </c>
      <c r="E577" s="1" t="n">
        <v>46257</v>
      </c>
      <c r="F577" t="inlineStr">
        <is>
          <t>KRONOBERGS LÄN</t>
        </is>
      </c>
      <c r="G577" t="inlineStr">
        <is>
          <t>ÄLMHULT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45938</v>
      </c>
      <c r="E578" s="1" t="n">
        <v>46257</v>
      </c>
      <c r="F578" t="inlineStr">
        <is>
          <t>KRONOBERGS LÄN</t>
        </is>
      </c>
      <c r="G578" t="inlineStr">
        <is>
          <t>ÄLMHULT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46257</v>
      </c>
      <c r="F579" t="inlineStr">
        <is>
          <t>KRONOBERGS LÄN</t>
        </is>
      </c>
      <c r="G579" t="inlineStr">
        <is>
          <t>ÄLMHULT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46257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46257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46257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46257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46257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46257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46257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46257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46257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46257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46257</v>
      </c>
      <c r="F590" t="inlineStr">
        <is>
          <t>KRONOBERGS LÄN</t>
        </is>
      </c>
      <c r="G590" t="inlineStr">
        <is>
          <t>ÄLMHULT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46257</v>
      </c>
      <c r="F591" t="inlineStr">
        <is>
          <t>KRONOBERGS LÄN</t>
        </is>
      </c>
      <c r="G591" t="inlineStr">
        <is>
          <t>ÄLMHULT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46257</v>
      </c>
      <c r="F592" t="inlineStr">
        <is>
          <t>KRONOBERGS LÄN</t>
        </is>
      </c>
      <c r="G592" t="inlineStr">
        <is>
          <t>ÄLMHULT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46257</v>
      </c>
      <c r="F593" t="inlineStr">
        <is>
          <t>KRONOBERGS LÄN</t>
        </is>
      </c>
      <c r="G593" t="inlineStr">
        <is>
          <t>ÄLMHULT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46257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45273</v>
      </c>
      <c r="E595" s="1" t="n">
        <v>46257</v>
      </c>
      <c r="F595" t="inlineStr">
        <is>
          <t>KRONOBERGS LÄN</t>
        </is>
      </c>
      <c r="G595" t="inlineStr">
        <is>
          <t>ÄLMHULT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45497</v>
      </c>
      <c r="E596" s="1" t="n">
        <v>46257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46257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44621</v>
      </c>
      <c r="E598" s="1" t="n">
        <v>46257</v>
      </c>
      <c r="F598" t="inlineStr">
        <is>
          <t>KRONOBERGS LÄN</t>
        </is>
      </c>
      <c r="G598" t="inlineStr">
        <is>
          <t>ÄLMHULT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46257</v>
      </c>
      <c r="F599" t="inlineStr">
        <is>
          <t>KRONOBERGS LÄN</t>
        </is>
      </c>
      <c r="G599" t="inlineStr">
        <is>
          <t>ÄLMHULT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46257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46257</v>
      </c>
      <c r="F601" t="inlineStr">
        <is>
          <t>KRONOBERGS LÄN</t>
        </is>
      </c>
      <c r="G601" t="inlineStr">
        <is>
          <t>ÄLMHULT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49112-2022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46257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45154</v>
      </c>
      <c r="E603" s="1" t="n">
        <v>46257</v>
      </c>
      <c r="F603" t="inlineStr">
        <is>
          <t>KRONOBERGS LÄN</t>
        </is>
      </c>
      <c r="G603" t="inlineStr">
        <is>
          <t>ÄLMHULT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46257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44636</v>
      </c>
      <c r="E605" s="1" t="n">
        <v>46257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68552-2021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44529</v>
      </c>
      <c r="E606" s="1" t="n">
        <v>46257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46257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46257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63569-2021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44508</v>
      </c>
      <c r="E609" s="1" t="n">
        <v>46257</v>
      </c>
      <c r="F609" t="inlineStr">
        <is>
          <t>KRONOBERGS LÄN</t>
        </is>
      </c>
      <c r="G609" t="inlineStr">
        <is>
          <t>ÄLMHULT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46154</v>
      </c>
      <c r="E610" s="1" t="n">
        <v>46257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48331-2022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44858</v>
      </c>
      <c r="E611" s="1" t="n">
        <v>46257</v>
      </c>
      <c r="F611" t="inlineStr">
        <is>
          <t>KRONOBERGS LÄN</t>
        </is>
      </c>
      <c r="G611" t="inlineStr">
        <is>
          <t>ÄLMHULT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46257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46257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46257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46257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46257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46257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46257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46257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46257</v>
      </c>
      <c r="F620" t="inlineStr">
        <is>
          <t>KRONOBERGS LÄN</t>
        </is>
      </c>
      <c r="G620" t="inlineStr">
        <is>
          <t>ÄLMHULT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46257</v>
      </c>
      <c r="F621" t="inlineStr">
        <is>
          <t>KRONOBERGS LÄN</t>
        </is>
      </c>
      <c r="G621" t="inlineStr">
        <is>
          <t>ÄLMHULT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46257</v>
      </c>
      <c r="F622" t="inlineStr">
        <is>
          <t>KRONOBERGS LÄN</t>
        </is>
      </c>
      <c r="G622" t="inlineStr">
        <is>
          <t>ÄLMHULT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46257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46257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46257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46257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46257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46257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46257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46257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46257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46257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46257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46257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46257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46257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46257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46257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46257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46257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46257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2141-2026</t>
        </is>
      </c>
      <c r="B642" t="inlineStr">
        <is>
          <t>samrådsanmälan</t>
        </is>
      </c>
      <c r="C642" t="inlineStr">
        <is>
          <t>Skogsbilväg</t>
        </is>
      </c>
      <c r="D642" s="1" t="n">
        <v>46182</v>
      </c>
      <c r="E642" s="1" t="n">
        <v>46257</v>
      </c>
      <c r="F642" t="inlineStr">
        <is>
          <t>KRONOBERGS LÄN</t>
        </is>
      </c>
      <c r="G642" t="inlineStr">
        <is>
          <t>ÄLMHULT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2026-08-23T01:48:31Z</dcterms:created>
  <dcterms:modified xmlns:dcterms="http://purl.org/dc/terms/" xmlns:xsi="http://www.w3.org/2001/XMLSchema-instance" xsi:type="dcterms:W3CDTF">2026-08-23T01:48:32Z</dcterms:modified>
</cp:coreProperties>
</file>