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46300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46300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46300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46300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46300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46300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46300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54633-2022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44883</v>
      </c>
      <c r="E16" s="1" t="n">
        <v>46300</v>
      </c>
      <c r="F16" t="inlineStr">
        <is>
          <t>KRONOBERGS LÄN</t>
        </is>
      </c>
      <c r="G16" t="inlineStr">
        <is>
          <t>ÄLMHULT</t>
        </is>
      </c>
      <c r="I16" t="n">
        <v>0.6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1</v>
      </c>
      <c r="V16" s="2" t="inlineStr">
        <is>
          <t>Sexfläckig bastardsvärmare
Silverblåvinge</t>
        </is>
      </c>
      <c r="W16">
        <f>HYPERLINK("https://klasma.github.io/Logging_0765/artfynd/A 54633-2022 artfynd.xlsx", "A 54633-2022")</f>
        <v/>
      </c>
      <c r="X16">
        <f>HYPERLINK("https://klasma.github.io/Logging_0765/kartor/A 54633-2022 karta.png", "A 54633-2022")</f>
        <v/>
      </c>
      <c r="Y16">
        <f>HYPERLINK("https://klasma.github.io/Logging_0765/kartor_geotiff/A 54633-2022 georefererad karta.tif", "A 54633-2022")</f>
        <v/>
      </c>
      <c r="AA16">
        <f>HYPERLINK("https://klasma.github.io/Logging_0765/klagomål/A 54633-2022 FSC-klagomål.docx", "A 54633-2022")</f>
        <v/>
      </c>
      <c r="AB16">
        <f>HYPERLINK("https://klasma.github.io/Logging_0765/klagomålsmail/A 54633-2022 FSC-klagomål mail.docx", "A 54633-2022")</f>
        <v/>
      </c>
      <c r="AC16">
        <f>HYPERLINK("https://klasma.github.io/Logging_0765/tillsyn/A 54633-2022 tillsynsbegäran.docx", "A 54633-2022")</f>
        <v/>
      </c>
      <c r="AD16">
        <f>HYPERLINK("https://klasma.github.io/Logging_0765/tillsynsmail/A 54633-2022 tillsynsbegäran mail.docx", "A 54633-2022")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46300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46300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46300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46300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46300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18943-2026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46129</v>
      </c>
      <c r="E22" s="1" t="n">
        <v>46300</v>
      </c>
      <c r="F22" t="inlineStr">
        <is>
          <t>KRONOBERGS LÄN</t>
        </is>
      </c>
      <c r="G22" t="inlineStr">
        <is>
          <t>ÄLMHULT</t>
        </is>
      </c>
      <c r="I22" t="n">
        <v>3.9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Slåtterfibbla</t>
        </is>
      </c>
      <c r="W22">
        <f>HYPERLINK("https://klasma.github.io/Logging_0765/artfynd/A 18943-2026 artfynd.xlsx", "A 18943-2026")</f>
        <v/>
      </c>
      <c r="X22">
        <f>HYPERLINK("https://klasma.github.io/Logging_0765/kartor/A 18943-2026 karta.png", "A 18943-2026")</f>
        <v/>
      </c>
      <c r="Y22">
        <f>HYPERLINK("https://klasma.github.io/Logging_0765/kartor_geotiff/A 18943-2026 georefererad karta.tif", "A 18943-2026")</f>
        <v/>
      </c>
      <c r="AA22">
        <f>HYPERLINK("https://klasma.github.io/Logging_0765/klagomål/A 18943-2026 FSC-klagomål.docx", "A 18943-2026")</f>
        <v/>
      </c>
      <c r="AB22">
        <f>HYPERLINK("https://klasma.github.io/Logging_0765/klagomålsmail/A 18943-2026 FSC-klagomål mail.docx", "A 18943-2026")</f>
        <v/>
      </c>
      <c r="AC22">
        <f>HYPERLINK("https://klasma.github.io/Logging_0765/tillsyn/A 18943-2026 tillsynsbegäran.docx", "A 18943-2026")</f>
        <v/>
      </c>
      <c r="AD22">
        <f>HYPERLINK("https://klasma.github.io/Logging_0765/tillsynsmail/A 18943-2026 tillsynsbegäran mail.docx", "A 18943-2026")</f>
        <v/>
      </c>
    </row>
    <row r="23" ht="15" customHeight="1">
      <c r="A23" t="inlineStr">
        <is>
          <t>A 19196-2025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46300</v>
      </c>
      <c r="F23" t="inlineStr">
        <is>
          <t>KRONOBERGS LÄN</t>
        </is>
      </c>
      <c r="G23" t="inlineStr">
        <is>
          <t>ÄLMHULT</t>
        </is>
      </c>
      <c r="I23" t="n">
        <v>26.2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HYPERLINK("https://klasma.github.io/Logging_0765/artfynd/A 19196-2025 artfynd.xlsx", "A 19196-2025")</f>
        <v/>
      </c>
      <c r="X23">
        <f>HYPERLINK("https://klasma.github.io/Logging_0765/kartor/A 19196-2025 karta.png", "A 19196-2025")</f>
        <v/>
      </c>
      <c r="Y23">
        <f>HYPERLINK("https://klasma.github.io/Logging_0765/kartor_geotiff/A 19196-2025 georefererad karta.tif", "A 19196-2025")</f>
        <v/>
      </c>
      <c r="AA23">
        <f>HYPERLINK("https://klasma.github.io/Logging_0765/klagomål/A 19196-2025 FSC-klagomål.docx", "A 19196-2025")</f>
        <v/>
      </c>
      <c r="AB23">
        <f>HYPERLINK("https://klasma.github.io/Logging_0765/klagomålsmail/A 19196-2025 FSC-klagomål mail.docx", "A 19196-2025")</f>
        <v/>
      </c>
      <c r="AC23">
        <f>HYPERLINK("https://klasma.github.io/Logging_0765/tillsyn/A 19196-2025 tillsynsbegäran.docx", "A 19196-2025")</f>
        <v/>
      </c>
      <c r="AD23">
        <f>HYPERLINK("https://klasma.github.io/Logging_0765/tillsynsmail/A 19196-2025 tillsynsbegäran mail.docx", "A 19196-2025")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46300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46300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46300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35531-2025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45856</v>
      </c>
      <c r="E27" s="1" t="n">
        <v>46300</v>
      </c>
      <c r="F27" t="inlineStr">
        <is>
          <t>KRONOBERGS LÄN</t>
        </is>
      </c>
      <c r="G27" t="inlineStr">
        <is>
          <t>ÄLMHULT</t>
        </is>
      </c>
      <c r="I27" t="n">
        <v>5.2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35531-2025 artfynd.xlsx", "A 35531-2025")</f>
        <v/>
      </c>
      <c r="X27">
        <f>HYPERLINK("https://klasma.github.io/Logging_0765/kartor/A 35531-2025 karta.png", "A 35531-2025")</f>
        <v/>
      </c>
      <c r="Y27">
        <f>HYPERLINK("https://klasma.github.io/Logging_0765/kartor_geotiff/A 35531-2025 georefererad karta.tif", "A 35531-2025")</f>
        <v/>
      </c>
      <c r="AA27">
        <f>HYPERLINK("https://klasma.github.io/Logging_0765/klagomål/A 35531-2025 FSC-klagomål.docx", "A 35531-2025")</f>
        <v/>
      </c>
      <c r="AB27">
        <f>HYPERLINK("https://klasma.github.io/Logging_0765/klagomålsmail/A 35531-2025 FSC-klagomål mail.docx", "A 35531-2025")</f>
        <v/>
      </c>
      <c r="AC27">
        <f>HYPERLINK("https://klasma.github.io/Logging_0765/tillsyn/A 35531-2025 tillsynsbegäran.docx", "A 35531-2025")</f>
        <v/>
      </c>
      <c r="AD27">
        <f>HYPERLINK("https://klasma.github.io/Logging_0765/tillsynsmail/A 35531-2025 tillsynsbegäran mail.docx", "A 35531-2025")</f>
        <v/>
      </c>
      <c r="AE27">
        <f>HYPERLINK("https://klasma.github.io/Logging_0765/fåglar/A 35531-2025 prioriterade fågelarter.docx", "A 35531-2025")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46300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46300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46300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46300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46300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46300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46300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46300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46300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46300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46300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46300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46300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46300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46300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46300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46300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46300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46300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46300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46300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46300</v>
      </c>
      <c r="F49" t="inlineStr">
        <is>
          <t>KRONOBERGS LÄN</t>
        </is>
      </c>
      <c r="G49" t="inlineStr">
        <is>
          <t>ÄLMHULT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44798</v>
      </c>
      <c r="E50" s="1" t="n">
        <v>46300</v>
      </c>
      <c r="F50" t="inlineStr">
        <is>
          <t>KRONOBERGS LÄN</t>
        </is>
      </c>
      <c r="G50" t="inlineStr">
        <is>
          <t>ÄLMHULT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46300</v>
      </c>
      <c r="F51" t="inlineStr">
        <is>
          <t>KRONOBERGS LÄN</t>
        </is>
      </c>
      <c r="G51" t="inlineStr">
        <is>
          <t>ÄLMHULT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46300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46300</v>
      </c>
      <c r="F53" t="inlineStr">
        <is>
          <t>KRONOBERGS LÄN</t>
        </is>
      </c>
      <c r="G53" t="inlineStr">
        <is>
          <t>ÄLMHULT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46300</v>
      </c>
      <c r="F54" t="inlineStr">
        <is>
          <t>KRONOBERGS LÄN</t>
        </is>
      </c>
      <c r="G54" t="inlineStr">
        <is>
          <t>ÄLMHULT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16069-2022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44665</v>
      </c>
      <c r="E55" s="1" t="n">
        <v>46300</v>
      </c>
      <c r="F55" t="inlineStr">
        <is>
          <t>KRONOBERGS LÄN</t>
        </is>
      </c>
      <c r="G55" t="inlineStr">
        <is>
          <t>ÄLMHULT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46300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46300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61084-2021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46300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46300</v>
      </c>
      <c r="F59" t="inlineStr">
        <is>
          <t>KRONOBERGS LÄN</t>
        </is>
      </c>
      <c r="G59" t="inlineStr">
        <is>
          <t>ÄLMHULT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46300</v>
      </c>
      <c r="F60" t="inlineStr">
        <is>
          <t>KRONOBERGS LÄN</t>
        </is>
      </c>
      <c r="G60" t="inlineStr">
        <is>
          <t>ÄLMHULT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46300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46300</v>
      </c>
      <c r="F62" t="inlineStr">
        <is>
          <t>KRONOBERGS LÄN</t>
        </is>
      </c>
      <c r="G62" t="inlineStr">
        <is>
          <t>ÄLMHULT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46300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46300</v>
      </c>
      <c r="F64" t="inlineStr">
        <is>
          <t>KRONOBERGS LÄN</t>
        </is>
      </c>
      <c r="G64" t="inlineStr">
        <is>
          <t>ÄLMHULT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46300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46300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44721</v>
      </c>
      <c r="E67" s="1" t="n">
        <v>46300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3918-2022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44587</v>
      </c>
      <c r="E68" s="1" t="n">
        <v>46300</v>
      </c>
      <c r="F68" t="inlineStr">
        <is>
          <t>KRONOBERGS LÄN</t>
        </is>
      </c>
      <c r="G68" t="inlineStr">
        <is>
          <t>ÄLMHULT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44802</v>
      </c>
      <c r="E69" s="1" t="n">
        <v>46300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46300</v>
      </c>
      <c r="F70" t="inlineStr">
        <is>
          <t>KRONOBERGS LÄN</t>
        </is>
      </c>
      <c r="G70" t="inlineStr">
        <is>
          <t>ÄLMHULT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46300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46300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25812-2022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44733</v>
      </c>
      <c r="E73" s="1" t="n">
        <v>46300</v>
      </c>
      <c r="F73" t="inlineStr">
        <is>
          <t>KRONOBERGS LÄN</t>
        </is>
      </c>
      <c r="G73" t="inlineStr">
        <is>
          <t>ÄLMHULT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46300</v>
      </c>
      <c r="F74" t="inlineStr">
        <is>
          <t>KRONOBERGS LÄN</t>
        </is>
      </c>
      <c r="G74" t="inlineStr">
        <is>
          <t>ÄLMHULT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46300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46300</v>
      </c>
      <c r="F76" t="inlineStr">
        <is>
          <t>KRONOBERGS LÄN</t>
        </is>
      </c>
      <c r="G76" t="inlineStr">
        <is>
          <t>ÄLMHULT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44680</v>
      </c>
      <c r="E77" s="1" t="n">
        <v>46300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67506-2021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44524</v>
      </c>
      <c r="E78" s="1" t="n">
        <v>46300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46300</v>
      </c>
      <c r="F79" t="inlineStr">
        <is>
          <t>KRONOBERGS LÄN</t>
        </is>
      </c>
      <c r="G79" t="inlineStr">
        <is>
          <t>ÄLMHULT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46300</v>
      </c>
      <c r="F80" t="inlineStr">
        <is>
          <t>KRONOBERGS LÄN</t>
        </is>
      </c>
      <c r="G80" t="inlineStr">
        <is>
          <t>ÄLMHULT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46300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46300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46300</v>
      </c>
      <c r="F83" t="inlineStr">
        <is>
          <t>KRONOBERGS LÄN</t>
        </is>
      </c>
      <c r="G83" t="inlineStr">
        <is>
          <t>ÄLMHULT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46300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46300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44685</v>
      </c>
      <c r="E86" s="1" t="n">
        <v>46300</v>
      </c>
      <c r="F86" t="inlineStr">
        <is>
          <t>KRONOBERGS LÄN</t>
        </is>
      </c>
      <c r="G86" t="inlineStr">
        <is>
          <t>ÄLMHULT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46300</v>
      </c>
      <c r="F87" t="inlineStr">
        <is>
          <t>KRONOBERGS LÄN</t>
        </is>
      </c>
      <c r="G87" t="inlineStr">
        <is>
          <t>ÄLMHULT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46300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46300</v>
      </c>
      <c r="F89" t="inlineStr">
        <is>
          <t>KRONOBERGS LÄN</t>
        </is>
      </c>
      <c r="G89" t="inlineStr">
        <is>
          <t>ÄLMHULT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64280-2021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46300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46300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44636</v>
      </c>
      <c r="E92" s="1" t="n">
        <v>46300</v>
      </c>
      <c r="F92" t="inlineStr">
        <is>
          <t>KRONOBERGS LÄN</t>
        </is>
      </c>
      <c r="G92" t="inlineStr">
        <is>
          <t>ÄLMHULT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14986-2022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46300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59490-2021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46300</v>
      </c>
      <c r="F94" t="inlineStr">
        <is>
          <t>KRONOBERGS LÄN</t>
        </is>
      </c>
      <c r="G94" t="inlineStr">
        <is>
          <t>ÄLMHULT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44831</v>
      </c>
      <c r="E95" s="1" t="n">
        <v>46300</v>
      </c>
      <c r="F95" t="inlineStr">
        <is>
          <t>KRONOBERGS LÄN</t>
        </is>
      </c>
      <c r="G95" t="inlineStr">
        <is>
          <t>ÄLMHULT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46300</v>
      </c>
      <c r="F96" t="inlineStr">
        <is>
          <t>KRONOBERGS LÄN</t>
        </is>
      </c>
      <c r="G96" t="inlineStr">
        <is>
          <t>ÄLMHULT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45433</v>
      </c>
      <c r="E97" s="1" t="n">
        <v>46300</v>
      </c>
      <c r="F97" t="inlineStr">
        <is>
          <t>KRONOBERGS LÄN</t>
        </is>
      </c>
      <c r="G97" t="inlineStr">
        <is>
          <t>ÄLMHULT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46300</v>
      </c>
      <c r="F98" t="inlineStr">
        <is>
          <t>KRONOBERGS LÄN</t>
        </is>
      </c>
      <c r="G98" t="inlineStr">
        <is>
          <t>ÄLMHULT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46300</v>
      </c>
      <c r="F99" t="inlineStr">
        <is>
          <t>KRONOBERGS LÄN</t>
        </is>
      </c>
      <c r="G99" t="inlineStr">
        <is>
          <t>ÄLMHULT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46300</v>
      </c>
      <c r="F100" t="inlineStr">
        <is>
          <t>KRONOBERGS LÄN</t>
        </is>
      </c>
      <c r="G100" t="inlineStr">
        <is>
          <t>ÄLMHULT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46300</v>
      </c>
      <c r="F101" t="inlineStr">
        <is>
          <t>KRONOBERGS LÄN</t>
        </is>
      </c>
      <c r="G101" t="inlineStr">
        <is>
          <t>ÄLMHULT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  <c r="Z101">
        <f>HYPERLINK("https://klasma.github.io/Logging_0765/knärot/A 27756-2023 karta knärot.png", "A 27756-2023")</f>
        <v/>
      </c>
      <c r="AA101">
        <f>HYPERLINK("https://klasma.github.io/Logging_0765/klagomål/A 27756-2023 FSC-klagomål.docx", "A 27756-2023")</f>
        <v/>
      </c>
      <c r="AB101">
        <f>HYPERLINK("https://klasma.github.io/Logging_0765/klagomålsmail/A 27756-2023 FSC-klagomål mail.docx", "A 27756-2023")</f>
        <v/>
      </c>
      <c r="AC101">
        <f>HYPERLINK("https://klasma.github.io/Logging_0765/tillsyn/A 27756-2023 tillsynsbegäran.docx", "A 27756-2023")</f>
        <v/>
      </c>
      <c r="AD101">
        <f>HYPERLINK("https://klasma.github.io/Logging_0765/tillsynsmail/A 27756-2023 tillsynsbegäran mail.docx", "A 27756-2023")</f>
        <v/>
      </c>
    </row>
    <row r="102" ht="15" customHeight="1">
      <c r="A102" t="inlineStr">
        <is>
          <t>A 21164-2023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46300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45457</v>
      </c>
      <c r="E103" s="1" t="n">
        <v>46300</v>
      </c>
      <c r="F103" t="inlineStr">
        <is>
          <t>KRONOBERGS LÄN</t>
        </is>
      </c>
      <c r="G103" t="inlineStr">
        <is>
          <t>ÄLMHULT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46300</v>
      </c>
      <c r="F104" t="inlineStr">
        <is>
          <t>KRONOBERGS LÄN</t>
        </is>
      </c>
      <c r="G104" t="inlineStr">
        <is>
          <t>ÄLMHULT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46300</v>
      </c>
      <c r="F105" t="inlineStr">
        <is>
          <t>KRONOBERGS LÄN</t>
        </is>
      </c>
      <c r="G105" t="inlineStr">
        <is>
          <t>ÄLMHULT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46300</v>
      </c>
      <c r="F106" t="inlineStr">
        <is>
          <t>KRONOBERGS LÄN</t>
        </is>
      </c>
      <c r="G106" t="inlineStr">
        <is>
          <t>ÄLMHULT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46300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46300</v>
      </c>
      <c r="F108" t="inlineStr">
        <is>
          <t>KRONOBERGS LÄN</t>
        </is>
      </c>
      <c r="G108" t="inlineStr">
        <is>
          <t>ÄLMHULT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46300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46300</v>
      </c>
      <c r="F110" t="inlineStr">
        <is>
          <t>KRONOBERGS LÄN</t>
        </is>
      </c>
      <c r="G110" t="inlineStr">
        <is>
          <t>ÄLMHULT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44610</v>
      </c>
      <c r="E111" s="1" t="n">
        <v>46300</v>
      </c>
      <c r="F111" t="inlineStr">
        <is>
          <t>KRONOBERGS LÄN</t>
        </is>
      </c>
      <c r="G111" t="inlineStr">
        <is>
          <t>ÄLMHULT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44962</v>
      </c>
      <c r="E112" s="1" t="n">
        <v>46300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45457</v>
      </c>
      <c r="E113" s="1" t="n">
        <v>46300</v>
      </c>
      <c r="F113" t="inlineStr">
        <is>
          <t>KRONOBERGS LÄN</t>
        </is>
      </c>
      <c r="G113" t="inlineStr">
        <is>
          <t>ÄLMHULT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46300</v>
      </c>
      <c r="F114" t="inlineStr">
        <is>
          <t>KRONOBERGS LÄN</t>
        </is>
      </c>
      <c r="G114" t="inlineStr">
        <is>
          <t>ÄLMHULT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45543</v>
      </c>
      <c r="E115" s="1" t="n">
        <v>46300</v>
      </c>
      <c r="F115" t="inlineStr">
        <is>
          <t>KRONOBERGS LÄN</t>
        </is>
      </c>
      <c r="G115" t="inlineStr">
        <is>
          <t>ÄLMHULT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46300</v>
      </c>
      <c r="F116" t="inlineStr">
        <is>
          <t>KRONOBERGS LÄN</t>
        </is>
      </c>
      <c r="G116" t="inlineStr">
        <is>
          <t>ÄLMHULT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46300</v>
      </c>
      <c r="F117" t="inlineStr">
        <is>
          <t>KRONOBERGS LÄN</t>
        </is>
      </c>
      <c r="G117" t="inlineStr">
        <is>
          <t>ÄLMHULT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45578</v>
      </c>
      <c r="E118" s="1" t="n">
        <v>46300</v>
      </c>
      <c r="F118" t="inlineStr">
        <is>
          <t>KRONOBERGS LÄN</t>
        </is>
      </c>
      <c r="G118" t="inlineStr">
        <is>
          <t>ÄLMHULT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46300</v>
      </c>
      <c r="F119" t="inlineStr">
        <is>
          <t>KRONOBERGS LÄN</t>
        </is>
      </c>
      <c r="G119" t="inlineStr">
        <is>
          <t>ÄLMHULT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46300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46300</v>
      </c>
      <c r="F121" t="inlineStr">
        <is>
          <t>KRONOBERGS LÄN</t>
        </is>
      </c>
      <c r="G121" t="inlineStr">
        <is>
          <t>ÄLMHULT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45554</v>
      </c>
      <c r="E122" s="1" t="n">
        <v>46300</v>
      </c>
      <c r="F122" t="inlineStr">
        <is>
          <t>KRONOBERGS LÄN</t>
        </is>
      </c>
      <c r="G122" t="inlineStr">
        <is>
          <t>ÄLMHULT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46300</v>
      </c>
      <c r="F123" t="inlineStr">
        <is>
          <t>KRONOBERGS LÄN</t>
        </is>
      </c>
      <c r="G123" t="inlineStr">
        <is>
          <t>ÄLMHULT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44473</v>
      </c>
      <c r="E124" s="1" t="n">
        <v>46300</v>
      </c>
      <c r="F124" t="inlineStr">
        <is>
          <t>KRONOBERGS LÄN</t>
        </is>
      </c>
      <c r="G124" t="inlineStr">
        <is>
          <t>ÄLMHULT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46300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46300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46300</v>
      </c>
      <c r="F127" t="inlineStr">
        <is>
          <t>KRONOBERGS LÄN</t>
        </is>
      </c>
      <c r="G127" t="inlineStr">
        <is>
          <t>ÄLMHULT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46005</v>
      </c>
      <c r="E128" s="1" t="n">
        <v>46300</v>
      </c>
      <c r="F128" t="inlineStr">
        <is>
          <t>KRONOBERGS LÄN</t>
        </is>
      </c>
      <c r="G128" t="inlineStr">
        <is>
          <t>ÄLMHULT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41492-2023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46300</v>
      </c>
      <c r="F129" t="inlineStr">
        <is>
          <t>KRONOBERGS LÄN</t>
        </is>
      </c>
      <c r="G129" t="inlineStr">
        <is>
          <t>ÄLMHULT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46300</v>
      </c>
      <c r="F130" t="inlineStr">
        <is>
          <t>KRONOBERGS LÄN</t>
        </is>
      </c>
      <c r="G130" t="inlineStr">
        <is>
          <t>ÄLMHULT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46300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46300</v>
      </c>
      <c r="F132" t="inlineStr">
        <is>
          <t>KRONOBERGS LÄN</t>
        </is>
      </c>
      <c r="G132" t="inlineStr">
        <is>
          <t>ÄLMHULT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45812</v>
      </c>
      <c r="E133" s="1" t="n">
        <v>46300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46300</v>
      </c>
      <c r="F134" t="inlineStr">
        <is>
          <t>KRONOBERGS LÄN</t>
        </is>
      </c>
      <c r="G134" t="inlineStr">
        <is>
          <t>ÄLMHULT</t>
        </is>
      </c>
      <c r="H134" t="inlineStr">
        <is>
          <t>Sveaskog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46300</v>
      </c>
      <c r="F135" t="inlineStr">
        <is>
          <t>KRONOBERGS LÄN</t>
        </is>
      </c>
      <c r="G135" t="inlineStr">
        <is>
          <t>ÄLMHULT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46300</v>
      </c>
      <c r="F136" t="inlineStr">
        <is>
          <t>KRONOBERGS LÄN</t>
        </is>
      </c>
      <c r="G136" t="inlineStr">
        <is>
          <t>ÄLMHULT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46300</v>
      </c>
      <c r="F137" t="inlineStr">
        <is>
          <t>KRONOBERGS LÄN</t>
        </is>
      </c>
      <c r="G137" t="inlineStr">
        <is>
          <t>ÄLMHULT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46300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46300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46300</v>
      </c>
      <c r="F140" t="inlineStr">
        <is>
          <t>KRONOBERGS LÄN</t>
        </is>
      </c>
      <c r="G140" t="inlineStr">
        <is>
          <t>ÄLMHULT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46300</v>
      </c>
      <c r="F141" t="inlineStr">
        <is>
          <t>KRONOBERGS LÄN</t>
        </is>
      </c>
      <c r="G141" t="inlineStr">
        <is>
          <t>ÄLMHULT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45309</v>
      </c>
      <c r="E142" s="1" t="n">
        <v>46300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46300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46300</v>
      </c>
      <c r="F144" t="inlineStr">
        <is>
          <t>KRONOBERGS LÄN</t>
        </is>
      </c>
      <c r="G144" t="inlineStr">
        <is>
          <t>ÄLMHULT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46300</v>
      </c>
      <c r="F145" t="inlineStr">
        <is>
          <t>KRONOBERGS LÄN</t>
        </is>
      </c>
      <c r="G145" t="inlineStr">
        <is>
          <t>ÄLMHULT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44686</v>
      </c>
      <c r="E146" s="1" t="n">
        <v>46300</v>
      </c>
      <c r="F146" t="inlineStr">
        <is>
          <t>KRONOBERGS LÄN</t>
        </is>
      </c>
      <c r="G146" t="inlineStr">
        <is>
          <t>ÄLMHULT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46300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46300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19722-2023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45051</v>
      </c>
      <c r="E149" s="1" t="n">
        <v>46300</v>
      </c>
      <c r="F149" t="inlineStr">
        <is>
          <t>KRONOBERGS LÄN</t>
        </is>
      </c>
      <c r="G149" t="inlineStr">
        <is>
          <t>ÄLMHULT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46300</v>
      </c>
      <c r="F150" t="inlineStr">
        <is>
          <t>KRONOBERGS LÄN</t>
        </is>
      </c>
      <c r="G150" t="inlineStr">
        <is>
          <t>ÄLMHULT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46300</v>
      </c>
      <c r="F151" t="inlineStr">
        <is>
          <t>KRONOBERGS LÄN</t>
        </is>
      </c>
      <c r="G151" t="inlineStr">
        <is>
          <t>ÄLMHULT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46300</v>
      </c>
      <c r="F152" t="inlineStr">
        <is>
          <t>KRONOBERGS LÄN</t>
        </is>
      </c>
      <c r="G152" t="inlineStr">
        <is>
          <t>ÄLMHULT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46300</v>
      </c>
      <c r="F153" t="inlineStr">
        <is>
          <t>KRONOBERGS LÄN</t>
        </is>
      </c>
      <c r="G153" t="inlineStr">
        <is>
          <t>ÄLMHULT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46300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46300</v>
      </c>
      <c r="F155" t="inlineStr">
        <is>
          <t>KRONOBERGS LÄN</t>
        </is>
      </c>
      <c r="G155" t="inlineStr">
        <is>
          <t>ÄLMHULT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46300</v>
      </c>
      <c r="F156" t="inlineStr">
        <is>
          <t>KRONOBERGS LÄN</t>
        </is>
      </c>
      <c r="G156" t="inlineStr">
        <is>
          <t>ÄLMHULT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46300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46300</v>
      </c>
      <c r="F158" t="inlineStr">
        <is>
          <t>KRONOBERGS LÄN</t>
        </is>
      </c>
      <c r="G158" t="inlineStr">
        <is>
          <t>ÄLMHULT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46300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44817</v>
      </c>
      <c r="E160" s="1" t="n">
        <v>46300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46300</v>
      </c>
      <c r="F161" t="inlineStr">
        <is>
          <t>KRONOBERGS LÄN</t>
        </is>
      </c>
      <c r="G161" t="inlineStr">
        <is>
          <t>ÄLMHULT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46300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46300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46300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45916</v>
      </c>
      <c r="E165" s="1" t="n">
        <v>46300</v>
      </c>
      <c r="F165" t="inlineStr">
        <is>
          <t>KRONOBERGS LÄN</t>
        </is>
      </c>
      <c r="G165" t="inlineStr">
        <is>
          <t>ÄLMHULT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46300</v>
      </c>
      <c r="F166" t="inlineStr">
        <is>
          <t>KRONOBERGS LÄN</t>
        </is>
      </c>
      <c r="G166" t="inlineStr">
        <is>
          <t>ÄLMHULT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64618-2021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44511</v>
      </c>
      <c r="E167" s="1" t="n">
        <v>46300</v>
      </c>
      <c r="F167" t="inlineStr">
        <is>
          <t>KRONOBERGS LÄN</t>
        </is>
      </c>
      <c r="G167" t="inlineStr">
        <is>
          <t>ÄLMHULT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44511</v>
      </c>
      <c r="E168" s="1" t="n">
        <v>46300</v>
      </c>
      <c r="F168" t="inlineStr">
        <is>
          <t>KRONOBERGS LÄN</t>
        </is>
      </c>
      <c r="G168" t="inlineStr">
        <is>
          <t>ÄLMHULT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46300</v>
      </c>
      <c r="F169" t="inlineStr">
        <is>
          <t>KRONOBERGS LÄN</t>
        </is>
      </c>
      <c r="G169" t="inlineStr">
        <is>
          <t>ÄLMHULT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46300</v>
      </c>
      <c r="F170" t="inlineStr">
        <is>
          <t>KRONOBERGS LÄN</t>
        </is>
      </c>
      <c r="G170" t="inlineStr">
        <is>
          <t>ÄLMHULT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24638-2024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46300</v>
      </c>
      <c r="F171" t="inlineStr">
        <is>
          <t>KRONOBERGS LÄN</t>
        </is>
      </c>
      <c r="G171" t="inlineStr">
        <is>
          <t>ÄLMHULT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45663</v>
      </c>
      <c r="E172" s="1" t="n">
        <v>46300</v>
      </c>
      <c r="F172" t="inlineStr">
        <is>
          <t>KRONOBERGS LÄN</t>
        </is>
      </c>
      <c r="G172" t="inlineStr">
        <is>
          <t>ÄLMHULT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46300</v>
      </c>
      <c r="F173" t="inlineStr">
        <is>
          <t>KRONOBERGS LÄN</t>
        </is>
      </c>
      <c r="G173" t="inlineStr">
        <is>
          <t>ÄLMHULT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46300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45350</v>
      </c>
      <c r="E175" s="1" t="n">
        <v>46300</v>
      </c>
      <c r="F175" t="inlineStr">
        <is>
          <t>KRONOBERGS LÄN</t>
        </is>
      </c>
      <c r="G175" t="inlineStr">
        <is>
          <t>ÄLMHULT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46300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46300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46300</v>
      </c>
      <c r="F178" t="inlineStr">
        <is>
          <t>KRONOBERGS LÄN</t>
        </is>
      </c>
      <c r="G178" t="inlineStr">
        <is>
          <t>ÄLMHULT</t>
        </is>
      </c>
      <c r="I178" t="n">
        <v>9.6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46300</v>
      </c>
      <c r="F179" t="inlineStr">
        <is>
          <t>KRONOBERGS LÄN</t>
        </is>
      </c>
      <c r="G179" t="inlineStr">
        <is>
          <t>ÄLMHULT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46300</v>
      </c>
      <c r="F180" t="inlineStr">
        <is>
          <t>KRONOBERGS LÄN</t>
        </is>
      </c>
      <c r="G180" t="inlineStr">
        <is>
          <t>ÄLMHULT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46300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46300</v>
      </c>
      <c r="F182" t="inlineStr">
        <is>
          <t>KRONOBERGS LÄN</t>
        </is>
      </c>
      <c r="G182" t="inlineStr">
        <is>
          <t>ÄLMHULT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46300</v>
      </c>
      <c r="F183" t="inlineStr">
        <is>
          <t>KRONOBERGS LÄN</t>
        </is>
      </c>
      <c r="G183" t="inlineStr">
        <is>
          <t>ÄLMHULT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46300</v>
      </c>
      <c r="F184" t="inlineStr">
        <is>
          <t>KRONOBERGS LÄN</t>
        </is>
      </c>
      <c r="G184" t="inlineStr">
        <is>
          <t>ÄLMHULT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46300</v>
      </c>
      <c r="F185" t="inlineStr">
        <is>
          <t>KRONOBERGS LÄN</t>
        </is>
      </c>
      <c r="G185" t="inlineStr">
        <is>
          <t>ÄLMHULT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46300</v>
      </c>
      <c r="F186" t="inlineStr">
        <is>
          <t>KRONOBERGS LÄN</t>
        </is>
      </c>
      <c r="G186" t="inlineStr">
        <is>
          <t>ÄLMHULT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44979</v>
      </c>
      <c r="E187" s="1" t="n">
        <v>46300</v>
      </c>
      <c r="F187" t="inlineStr">
        <is>
          <t>KRONOBERGS LÄN</t>
        </is>
      </c>
      <c r="G187" t="inlineStr">
        <is>
          <t>ÄLMHULT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46300</v>
      </c>
      <c r="F188" t="inlineStr">
        <is>
          <t>KRONOBERGS LÄN</t>
        </is>
      </c>
      <c r="G188" t="inlineStr">
        <is>
          <t>ÄLMHULT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8102-2026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46063</v>
      </c>
      <c r="E189" s="1" t="n">
        <v>46300</v>
      </c>
      <c r="F189" t="inlineStr">
        <is>
          <t>KRONOBERGS LÄN</t>
        </is>
      </c>
      <c r="G189" t="inlineStr">
        <is>
          <t>ÄLMHULT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46300</v>
      </c>
      <c r="F190" t="inlineStr">
        <is>
          <t>KRONOBERGS LÄN</t>
        </is>
      </c>
      <c r="G190" t="inlineStr">
        <is>
          <t>ÄLMHULT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46300</v>
      </c>
      <c r="F191" t="inlineStr">
        <is>
          <t>KRONOBERGS LÄN</t>
        </is>
      </c>
      <c r="G191" t="inlineStr">
        <is>
          <t>ÄLMHULT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46061</v>
      </c>
      <c r="E192" s="1" t="n">
        <v>46300</v>
      </c>
      <c r="F192" t="inlineStr">
        <is>
          <t>KRONOBERGS LÄN</t>
        </is>
      </c>
      <c r="G192" t="inlineStr">
        <is>
          <t>ÄLMHULT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46300</v>
      </c>
      <c r="F193" t="inlineStr">
        <is>
          <t>KRONOBERGS LÄN</t>
        </is>
      </c>
      <c r="G193" t="inlineStr">
        <is>
          <t>ÄLMHULT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46300</v>
      </c>
      <c r="F194" t="inlineStr">
        <is>
          <t>KRONOBERGS LÄN</t>
        </is>
      </c>
      <c r="G194" t="inlineStr">
        <is>
          <t>ÄLMHULT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46300</v>
      </c>
      <c r="F195" t="inlineStr">
        <is>
          <t>KRONOBERGS LÄN</t>
        </is>
      </c>
      <c r="G195" t="inlineStr">
        <is>
          <t>ÄLMHULT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46300</v>
      </c>
      <c r="F196" t="inlineStr">
        <is>
          <t>KRONOBERGS LÄN</t>
        </is>
      </c>
      <c r="G196" t="inlineStr">
        <is>
          <t>ÄLMHULT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46300</v>
      </c>
      <c r="F197" t="inlineStr">
        <is>
          <t>KRONOBERGS LÄN</t>
        </is>
      </c>
      <c r="G197" t="inlineStr">
        <is>
          <t>ÄLMHULT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46300</v>
      </c>
      <c r="F198" t="inlineStr">
        <is>
          <t>KRONOBERGS LÄN</t>
        </is>
      </c>
      <c r="G198" t="inlineStr">
        <is>
          <t>ÄLMHULT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46300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46300</v>
      </c>
      <c r="F200" t="inlineStr">
        <is>
          <t>KRONOBERGS LÄN</t>
        </is>
      </c>
      <c r="G200" t="inlineStr">
        <is>
          <t>ÄLMHULT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44861</v>
      </c>
      <c r="E201" s="1" t="n">
        <v>46300</v>
      </c>
      <c r="F201" t="inlineStr">
        <is>
          <t>KRONOBERGS LÄN</t>
        </is>
      </c>
      <c r="G201" t="inlineStr">
        <is>
          <t>ÄLMHULT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45916</v>
      </c>
      <c r="E202" s="1" t="n">
        <v>46300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30322-2025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45827</v>
      </c>
      <c r="E203" s="1" t="n">
        <v>46300</v>
      </c>
      <c r="F203" t="inlineStr">
        <is>
          <t>KRONOBERGS LÄN</t>
        </is>
      </c>
      <c r="G203" t="inlineStr">
        <is>
          <t>ÄLMHULT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46300</v>
      </c>
      <c r="F204" t="inlineStr">
        <is>
          <t>KRONOBERGS LÄN</t>
        </is>
      </c>
      <c r="G204" t="inlineStr">
        <is>
          <t>ÄLMHULT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45414</v>
      </c>
      <c r="E205" s="1" t="n">
        <v>46300</v>
      </c>
      <c r="F205" t="inlineStr">
        <is>
          <t>KRONOBERGS LÄN</t>
        </is>
      </c>
      <c r="G205" t="inlineStr">
        <is>
          <t>ÄLMHULT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46300</v>
      </c>
      <c r="F206" t="inlineStr">
        <is>
          <t>KRONOBERGS LÄN</t>
        </is>
      </c>
      <c r="G206" t="inlineStr">
        <is>
          <t>ÄLMHULT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45681</v>
      </c>
      <c r="E207" s="1" t="n">
        <v>46300</v>
      </c>
      <c r="F207" t="inlineStr">
        <is>
          <t>KRONOBERGS LÄN</t>
        </is>
      </c>
      <c r="G207" t="inlineStr">
        <is>
          <t>ÄLMHULT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46300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46300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45612</v>
      </c>
      <c r="E210" s="1" t="n">
        <v>46300</v>
      </c>
      <c r="F210" t="inlineStr">
        <is>
          <t>KRONOBERGS LÄN</t>
        </is>
      </c>
      <c r="G210" t="inlineStr">
        <is>
          <t>ÄLMHULT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46300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46300</v>
      </c>
      <c r="F212" t="inlineStr">
        <is>
          <t>KRONOBERGS LÄN</t>
        </is>
      </c>
      <c r="G212" t="inlineStr">
        <is>
          <t>ÄLMHULT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46300</v>
      </c>
      <c r="F213" t="inlineStr">
        <is>
          <t>KRONOBERGS LÄN</t>
        </is>
      </c>
      <c r="G213" t="inlineStr">
        <is>
          <t>ÄLMHULT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45042</v>
      </c>
      <c r="E214" s="1" t="n">
        <v>46300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46300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46300</v>
      </c>
      <c r="F216" t="inlineStr">
        <is>
          <t>KRONOBERGS LÄN</t>
        </is>
      </c>
      <c r="G216" t="inlineStr">
        <is>
          <t>ÄLMHULT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46300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46300</v>
      </c>
      <c r="F218" t="inlineStr">
        <is>
          <t>KRONOBERGS LÄN</t>
        </is>
      </c>
      <c r="G218" t="inlineStr">
        <is>
          <t>ÄLMHULT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46300</v>
      </c>
      <c r="F219" t="inlineStr">
        <is>
          <t>KRONOBERGS LÄN</t>
        </is>
      </c>
      <c r="G219" t="inlineStr">
        <is>
          <t>ÄLMHULT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46300</v>
      </c>
      <c r="F220" t="inlineStr">
        <is>
          <t>KRONOBERGS LÄN</t>
        </is>
      </c>
      <c r="G220" t="inlineStr">
        <is>
          <t>ÄLMHULT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46300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46300</v>
      </c>
      <c r="F222" t="inlineStr">
        <is>
          <t>KRONOBERGS LÄN</t>
        </is>
      </c>
      <c r="G222" t="inlineStr">
        <is>
          <t>ÄLMHULT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46300</v>
      </c>
      <c r="F223" t="inlineStr">
        <is>
          <t>KRONOBERGS LÄN</t>
        </is>
      </c>
      <c r="G223" t="inlineStr">
        <is>
          <t>ÄLMHULT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46300</v>
      </c>
      <c r="F224" t="inlineStr">
        <is>
          <t>KRONOBERGS LÄN</t>
        </is>
      </c>
      <c r="G224" t="inlineStr">
        <is>
          <t>ÄLMHULT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46300</v>
      </c>
      <c r="F225" t="inlineStr">
        <is>
          <t>KRONOBERGS LÄN</t>
        </is>
      </c>
      <c r="G225" t="inlineStr">
        <is>
          <t>ÄLMHULT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46300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44921</v>
      </c>
      <c r="E227" s="1" t="n">
        <v>46300</v>
      </c>
      <c r="F227" t="inlineStr">
        <is>
          <t>KRONOBERGS LÄN</t>
        </is>
      </c>
      <c r="G227" t="inlineStr">
        <is>
          <t>ÄLMHULT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45969</v>
      </c>
      <c r="E228" s="1" t="n">
        <v>46300</v>
      </c>
      <c r="F228" t="inlineStr">
        <is>
          <t>KRONOBERGS LÄN</t>
        </is>
      </c>
      <c r="G228" t="inlineStr">
        <is>
          <t>ÄLMHULT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45969</v>
      </c>
      <c r="E229" s="1" t="n">
        <v>46300</v>
      </c>
      <c r="F229" t="inlineStr">
        <is>
          <t>KRONOBERGS LÄN</t>
        </is>
      </c>
      <c r="G229" t="inlineStr">
        <is>
          <t>ÄLMHULT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46300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46300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46300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46300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46300</v>
      </c>
      <c r="F234" t="inlineStr">
        <is>
          <t>KRONOBERGS LÄN</t>
        </is>
      </c>
      <c r="G234" t="inlineStr">
        <is>
          <t>ÄLMHULT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44914</v>
      </c>
      <c r="E235" s="1" t="n">
        <v>46300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45538</v>
      </c>
      <c r="E236" s="1" t="n">
        <v>46300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46300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46300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46300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46300</v>
      </c>
      <c r="F240" t="inlineStr">
        <is>
          <t>KRONOBERGS LÄN</t>
        </is>
      </c>
      <c r="G240" t="inlineStr">
        <is>
          <t>ÄLMHULT</t>
        </is>
      </c>
      <c r="H240" t="inlineStr">
        <is>
          <t>Sveaskog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46300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45548</v>
      </c>
      <c r="E242" s="1" t="n">
        <v>46300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46300</v>
      </c>
      <c r="F243" t="inlineStr">
        <is>
          <t>KRONOBERGS LÄN</t>
        </is>
      </c>
      <c r="G243" t="inlineStr">
        <is>
          <t>ÄLMHULT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44743</v>
      </c>
      <c r="E244" s="1" t="n">
        <v>46300</v>
      </c>
      <c r="F244" t="inlineStr">
        <is>
          <t>KRONOBERGS LÄN</t>
        </is>
      </c>
      <c r="G244" t="inlineStr">
        <is>
          <t>ÄLMHULT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62241-2021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46300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46300</v>
      </c>
      <c r="F246" t="inlineStr">
        <is>
          <t>KRONOBERGS LÄN</t>
        </is>
      </c>
      <c r="G246" t="inlineStr">
        <is>
          <t>ÄLMHULT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46300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46300</v>
      </c>
      <c r="F248" t="inlineStr">
        <is>
          <t>KRONOBERGS LÄN</t>
        </is>
      </c>
      <c r="G248" t="inlineStr">
        <is>
          <t>ÄLMHULT</t>
        </is>
      </c>
      <c r="H248" t="inlineStr">
        <is>
          <t>Sveaskog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46300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46300</v>
      </c>
      <c r="F250" t="inlineStr">
        <is>
          <t>KRONOBERGS LÄN</t>
        </is>
      </c>
      <c r="G250" t="inlineStr">
        <is>
          <t>ÄLMHULT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16141-2026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46300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46300</v>
      </c>
      <c r="F252" t="inlineStr">
        <is>
          <t>KRONOBERGS LÄN</t>
        </is>
      </c>
      <c r="G252" t="inlineStr">
        <is>
          <t>ÄLMHULT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46300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46300</v>
      </c>
      <c r="F254" t="inlineStr">
        <is>
          <t>KRONOBERGS LÄN</t>
        </is>
      </c>
      <c r="G254" t="inlineStr">
        <is>
          <t>ÄLMHULT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46300</v>
      </c>
      <c r="F255" t="inlineStr">
        <is>
          <t>KRONOBERGS LÄN</t>
        </is>
      </c>
      <c r="G255" t="inlineStr">
        <is>
          <t>ÄLMHULT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46300</v>
      </c>
      <c r="F256" t="inlineStr">
        <is>
          <t>KRONOBERGS LÄN</t>
        </is>
      </c>
      <c r="G256" t="inlineStr">
        <is>
          <t>ÄLMHULT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46300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45078</v>
      </c>
      <c r="E258" s="1" t="n">
        <v>46300</v>
      </c>
      <c r="F258" t="inlineStr">
        <is>
          <t>KRONOBERGS LÄN</t>
        </is>
      </c>
      <c r="G258" t="inlineStr">
        <is>
          <t>ÄLMHULT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46300</v>
      </c>
      <c r="F259" t="inlineStr">
        <is>
          <t>KRONOBERGS LÄN</t>
        </is>
      </c>
      <c r="G259" t="inlineStr">
        <is>
          <t>ÄLMHULT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59803-2025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45992</v>
      </c>
      <c r="E260" s="1" t="n">
        <v>46300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45716</v>
      </c>
      <c r="E261" s="1" t="n">
        <v>46300</v>
      </c>
      <c r="F261" t="inlineStr">
        <is>
          <t>KRONOBERGS LÄN</t>
        </is>
      </c>
      <c r="G261" t="inlineStr">
        <is>
          <t>ÄLMHULT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59771-2025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45992</v>
      </c>
      <c r="E262" s="1" t="n">
        <v>46300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46300</v>
      </c>
      <c r="F263" t="inlineStr">
        <is>
          <t>KRONOBERGS LÄN</t>
        </is>
      </c>
      <c r="G263" t="inlineStr">
        <is>
          <t>ÄLMHULT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59780-2025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45992</v>
      </c>
      <c r="E264" s="1" t="n">
        <v>46300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46300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45441</v>
      </c>
      <c r="E266" s="1" t="n">
        <v>46300</v>
      </c>
      <c r="F266" t="inlineStr">
        <is>
          <t>KRONOBERGS LÄN</t>
        </is>
      </c>
      <c r="G266" t="inlineStr">
        <is>
          <t>ÄLMHULT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46300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46300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46300</v>
      </c>
      <c r="F269" t="inlineStr">
        <is>
          <t>KRONOBERGS LÄN</t>
        </is>
      </c>
      <c r="G269" t="inlineStr">
        <is>
          <t>ÄLMHULT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46300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46300</v>
      </c>
      <c r="F271" t="inlineStr">
        <is>
          <t>KRONOBERGS LÄN</t>
        </is>
      </c>
      <c r="G271" t="inlineStr">
        <is>
          <t>ÄLMHULT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46300</v>
      </c>
      <c r="F272" t="inlineStr">
        <is>
          <t>KRONOBERGS LÄN</t>
        </is>
      </c>
      <c r="G272" t="inlineStr">
        <is>
          <t>ÄLMHULT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18702-2026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46128</v>
      </c>
      <c r="E273" s="1" t="n">
        <v>46300</v>
      </c>
      <c r="F273" t="inlineStr">
        <is>
          <t>KRONOBERGS LÄN</t>
        </is>
      </c>
      <c r="G273" t="inlineStr">
        <is>
          <t>ÄLMHULT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46300</v>
      </c>
      <c r="F274" t="inlineStr">
        <is>
          <t>KRONOBERGS LÄN</t>
        </is>
      </c>
      <c r="G274" t="inlineStr">
        <is>
          <t>ÄLMHULT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45440</v>
      </c>
      <c r="E275" s="1" t="n">
        <v>46300</v>
      </c>
      <c r="F275" t="inlineStr">
        <is>
          <t>KRONOBERGS LÄN</t>
        </is>
      </c>
      <c r="G275" t="inlineStr">
        <is>
          <t>ÄLMHULT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72469-2021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44545</v>
      </c>
      <c r="E276" s="1" t="n">
        <v>46300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45140</v>
      </c>
      <c r="E277" s="1" t="n">
        <v>46300</v>
      </c>
      <c r="F277" t="inlineStr">
        <is>
          <t>KRONOBERGS LÄN</t>
        </is>
      </c>
      <c r="G277" t="inlineStr">
        <is>
          <t>ÄLMHULT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46300</v>
      </c>
      <c r="F278" t="inlineStr">
        <is>
          <t>KRONOBERGS LÄN</t>
        </is>
      </c>
      <c r="G278" t="inlineStr">
        <is>
          <t>ÄLMHULT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46300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54363-2023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45233</v>
      </c>
      <c r="E280" s="1" t="n">
        <v>46300</v>
      </c>
      <c r="F280" t="inlineStr">
        <is>
          <t>KRONOBERGS LÄN</t>
        </is>
      </c>
      <c r="G280" t="inlineStr">
        <is>
          <t>ÄLMHULT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45233</v>
      </c>
      <c r="E281" s="1" t="n">
        <v>46300</v>
      </c>
      <c r="F281" t="inlineStr">
        <is>
          <t>KRONOBERGS LÄN</t>
        </is>
      </c>
      <c r="G281" t="inlineStr">
        <is>
          <t>ÄLMHULT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46300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46300</v>
      </c>
      <c r="F283" t="inlineStr">
        <is>
          <t>KRONOBERGS LÄN</t>
        </is>
      </c>
      <c r="G283" t="inlineStr">
        <is>
          <t>ÄLMHULT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67257-2021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44523</v>
      </c>
      <c r="E284" s="1" t="n">
        <v>46300</v>
      </c>
      <c r="F284" t="inlineStr">
        <is>
          <t>KRONOBERGS LÄN</t>
        </is>
      </c>
      <c r="G284" t="inlineStr">
        <is>
          <t>ÄLMHULT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46300</v>
      </c>
      <c r="F285" t="inlineStr">
        <is>
          <t>KRONOBERGS LÄN</t>
        </is>
      </c>
      <c r="G285" t="inlineStr">
        <is>
          <t>ÄLMHULT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46300</v>
      </c>
      <c r="F286" t="inlineStr">
        <is>
          <t>KRONOBERGS LÄN</t>
        </is>
      </c>
      <c r="G286" t="inlineStr">
        <is>
          <t>ÄLMHULT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46300</v>
      </c>
      <c r="F287" t="inlineStr">
        <is>
          <t>KRONOBERGS LÄN</t>
        </is>
      </c>
      <c r="G287" t="inlineStr">
        <is>
          <t>ÄLMHULT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46300</v>
      </c>
      <c r="F288" t="inlineStr">
        <is>
          <t>KRONOBERGS LÄN</t>
        </is>
      </c>
      <c r="G288" t="inlineStr">
        <is>
          <t>ÄLMHULT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46300</v>
      </c>
      <c r="F289" t="inlineStr">
        <is>
          <t>KRONOBERGS LÄN</t>
        </is>
      </c>
      <c r="G289" t="inlineStr">
        <is>
          <t>ÄLMHULT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44641</v>
      </c>
      <c r="E290" s="1" t="n">
        <v>46300</v>
      </c>
      <c r="F290" t="inlineStr">
        <is>
          <t>KRONOBERGS LÄN</t>
        </is>
      </c>
      <c r="G290" t="inlineStr">
        <is>
          <t>ÄLMHULT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32197-2025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46300</v>
      </c>
      <c r="F291" t="inlineStr">
        <is>
          <t>KRONOBERGS LÄN</t>
        </is>
      </c>
      <c r="G291" t="inlineStr">
        <is>
          <t>ÄLMHULT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46300</v>
      </c>
      <c r="F292" t="inlineStr">
        <is>
          <t>KRONOBERGS LÄN</t>
        </is>
      </c>
      <c r="G292" t="inlineStr">
        <is>
          <t>ÄLMHULT</t>
        </is>
      </c>
      <c r="H292" t="inlineStr">
        <is>
          <t>Kommuner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46300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46300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46300</v>
      </c>
      <c r="F295" t="inlineStr">
        <is>
          <t>KRONOBERGS LÄN</t>
        </is>
      </c>
      <c r="G295" t="inlineStr">
        <is>
          <t>ÄLMHULT</t>
        </is>
      </c>
      <c r="I295" t="n">
        <v>14.1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46300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13606-2023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45006</v>
      </c>
      <c r="E297" s="1" t="n">
        <v>46300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46300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45089</v>
      </c>
      <c r="E299" s="1" t="n">
        <v>46300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45529</v>
      </c>
      <c r="E300" s="1" t="n">
        <v>46300</v>
      </c>
      <c r="F300" t="inlineStr">
        <is>
          <t>KRONOBERGS LÄN</t>
        </is>
      </c>
      <c r="G300" t="inlineStr">
        <is>
          <t>ÄLMHULT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46300</v>
      </c>
      <c r="F301" t="inlineStr">
        <is>
          <t>KRONOBERGS LÄN</t>
        </is>
      </c>
      <c r="G301" t="inlineStr">
        <is>
          <t>ÄLMHULT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45608</v>
      </c>
      <c r="E302" s="1" t="n">
        <v>46300</v>
      </c>
      <c r="F302" t="inlineStr">
        <is>
          <t>KRONOBERGS LÄN</t>
        </is>
      </c>
      <c r="G302" t="inlineStr">
        <is>
          <t>ÄLMHULT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46300</v>
      </c>
      <c r="F303" t="inlineStr">
        <is>
          <t>KRONOBERGS LÄN</t>
        </is>
      </c>
      <c r="G303" t="inlineStr">
        <is>
          <t>ÄLMHULT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46300</v>
      </c>
      <c r="F304" t="inlineStr">
        <is>
          <t>KRONOBERGS LÄN</t>
        </is>
      </c>
      <c r="G304" t="inlineStr">
        <is>
          <t>ÄLMHULT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45328</v>
      </c>
      <c r="E305" s="1" t="n">
        <v>46300</v>
      </c>
      <c r="F305" t="inlineStr">
        <is>
          <t>KRONOBERGS LÄN</t>
        </is>
      </c>
      <c r="G305" t="inlineStr">
        <is>
          <t>ÄLMHULT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34048-2025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45845</v>
      </c>
      <c r="E306" s="1" t="n">
        <v>46300</v>
      </c>
      <c r="F306" t="inlineStr">
        <is>
          <t>KRONOBERGS LÄN</t>
        </is>
      </c>
      <c r="G306" t="inlineStr">
        <is>
          <t>ÄLMHULT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46300</v>
      </c>
      <c r="F307" t="inlineStr">
        <is>
          <t>KRONOBERGS LÄN</t>
        </is>
      </c>
      <c r="G307" t="inlineStr">
        <is>
          <t>ÄLMHULT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46300</v>
      </c>
      <c r="F308" t="inlineStr">
        <is>
          <t>KRONOBERGS LÄN</t>
        </is>
      </c>
      <c r="G308" t="inlineStr">
        <is>
          <t>ÄLMHULT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45630</v>
      </c>
      <c r="E309" s="1" t="n">
        <v>46300</v>
      </c>
      <c r="F309" t="inlineStr">
        <is>
          <t>KRONOBERGS LÄN</t>
        </is>
      </c>
      <c r="G309" t="inlineStr">
        <is>
          <t>ÄLMHULT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46300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46300</v>
      </c>
      <c r="F311" t="inlineStr">
        <is>
          <t>KRONOBERGS LÄN</t>
        </is>
      </c>
      <c r="G311" t="inlineStr">
        <is>
          <t>ÄLMHULT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46300</v>
      </c>
      <c r="F312" t="inlineStr">
        <is>
          <t>KRONOBERGS LÄN</t>
        </is>
      </c>
      <c r="G312" t="inlineStr">
        <is>
          <t>ÄLMHULT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45215</v>
      </c>
      <c r="E313" s="1" t="n">
        <v>46300</v>
      </c>
      <c r="F313" t="inlineStr">
        <is>
          <t>KRONOBERGS LÄN</t>
        </is>
      </c>
      <c r="G313" t="inlineStr">
        <is>
          <t>ÄLMHULT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46300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46300</v>
      </c>
      <c r="F315" t="inlineStr">
        <is>
          <t>KRONOBERGS LÄN</t>
        </is>
      </c>
      <c r="G315" t="inlineStr">
        <is>
          <t>ÄLMHULT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33944-2023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45134</v>
      </c>
      <c r="E316" s="1" t="n">
        <v>46300</v>
      </c>
      <c r="F316" t="inlineStr">
        <is>
          <t>KRONOBERGS LÄN</t>
        </is>
      </c>
      <c r="G316" t="inlineStr">
        <is>
          <t>ÄLMHULT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45726</v>
      </c>
      <c r="E317" s="1" t="n">
        <v>46300</v>
      </c>
      <c r="F317" t="inlineStr">
        <is>
          <t>KRONOBERGS LÄN</t>
        </is>
      </c>
      <c r="G317" t="inlineStr">
        <is>
          <t>ÄLMHULT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45854</v>
      </c>
      <c r="E318" s="1" t="n">
        <v>46300</v>
      </c>
      <c r="F318" t="inlineStr">
        <is>
          <t>KRONOBERGS LÄN</t>
        </is>
      </c>
      <c r="G318" t="inlineStr">
        <is>
          <t>ÄLMHULT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46300</v>
      </c>
      <c r="F319" t="inlineStr">
        <is>
          <t>KRONOBERGS LÄN</t>
        </is>
      </c>
      <c r="G319" t="inlineStr">
        <is>
          <t>ÄLMHULT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45531</v>
      </c>
      <c r="E320" s="1" t="n">
        <v>46300</v>
      </c>
      <c r="F320" t="inlineStr">
        <is>
          <t>KRONOBERGS LÄN</t>
        </is>
      </c>
      <c r="G320" t="inlineStr">
        <is>
          <t>ÄLMHULT</t>
        </is>
      </c>
      <c r="H320" t="inlineStr">
        <is>
          <t>Kyrkan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46300</v>
      </c>
      <c r="F321" t="inlineStr">
        <is>
          <t>KRONOBERGS LÄN</t>
        </is>
      </c>
      <c r="G321" t="inlineStr">
        <is>
          <t>ÄLMHULT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46300</v>
      </c>
      <c r="F322" t="inlineStr">
        <is>
          <t>KRONOBERGS LÄN</t>
        </is>
      </c>
      <c r="G322" t="inlineStr">
        <is>
          <t>ÄLMHULT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46300</v>
      </c>
      <c r="F323" t="inlineStr">
        <is>
          <t>KRONOBERGS LÄN</t>
        </is>
      </c>
      <c r="G323" t="inlineStr">
        <is>
          <t>ÄLMHULT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46300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44784</v>
      </c>
      <c r="E325" s="1" t="n">
        <v>46300</v>
      </c>
      <c r="F325" t="inlineStr">
        <is>
          <t>KRONOBERGS LÄN</t>
        </is>
      </c>
      <c r="G325" t="inlineStr">
        <is>
          <t>ÄLMHULT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46300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45373</v>
      </c>
      <c r="E327" s="1" t="n">
        <v>46300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46300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46300</v>
      </c>
      <c r="F329" t="inlineStr">
        <is>
          <t>KRONOBERGS LÄN</t>
        </is>
      </c>
      <c r="G329" t="inlineStr">
        <is>
          <t>ÄLMHULT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45084</v>
      </c>
      <c r="E330" s="1" t="n">
        <v>46300</v>
      </c>
      <c r="F330" t="inlineStr">
        <is>
          <t>KRONOBERGS LÄN</t>
        </is>
      </c>
      <c r="G330" t="inlineStr">
        <is>
          <t>ÄLMHULT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45010</v>
      </c>
      <c r="E331" s="1" t="n">
        <v>46300</v>
      </c>
      <c r="F331" t="inlineStr">
        <is>
          <t>KRONOBERGS LÄN</t>
        </is>
      </c>
      <c r="G331" t="inlineStr">
        <is>
          <t>ÄLMHULT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46300</v>
      </c>
      <c r="F332" t="inlineStr">
        <is>
          <t>KRONOBERGS LÄN</t>
        </is>
      </c>
      <c r="G332" t="inlineStr">
        <is>
          <t>ÄLMHULT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46300</v>
      </c>
      <c r="F333" t="inlineStr">
        <is>
          <t>KRONOBERGS LÄN</t>
        </is>
      </c>
      <c r="G333" t="inlineStr">
        <is>
          <t>ÄLMHULT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46300</v>
      </c>
      <c r="F334" t="inlineStr">
        <is>
          <t>KRONOBERGS LÄN</t>
        </is>
      </c>
      <c r="G334" t="inlineStr">
        <is>
          <t>ÄLMHULT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46300</v>
      </c>
      <c r="F335" t="inlineStr">
        <is>
          <t>KRONOBERGS LÄN</t>
        </is>
      </c>
      <c r="G335" t="inlineStr">
        <is>
          <t>ÄLMHULT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45812</v>
      </c>
      <c r="E336" s="1" t="n">
        <v>46300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45631</v>
      </c>
      <c r="E337" s="1" t="n">
        <v>46300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46300</v>
      </c>
      <c r="F338" t="inlineStr">
        <is>
          <t>KRONOBERGS LÄN</t>
        </is>
      </c>
      <c r="G338" t="inlineStr">
        <is>
          <t>ÄLMHULT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45355</v>
      </c>
      <c r="E339" s="1" t="n">
        <v>46300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45529</v>
      </c>
      <c r="E340" s="1" t="n">
        <v>46300</v>
      </c>
      <c r="F340" t="inlineStr">
        <is>
          <t>KRONOBERGS LÄN</t>
        </is>
      </c>
      <c r="G340" t="inlineStr">
        <is>
          <t>ÄLMHULT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46300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45631</v>
      </c>
      <c r="E342" s="1" t="n">
        <v>46300</v>
      </c>
      <c r="F342" t="inlineStr">
        <is>
          <t>KRONOBERGS LÄN</t>
        </is>
      </c>
      <c r="G342" t="inlineStr">
        <is>
          <t>ÄLMHULT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46300</v>
      </c>
      <c r="F343" t="inlineStr">
        <is>
          <t>KRONOBERGS LÄN</t>
        </is>
      </c>
      <c r="G343" t="inlineStr">
        <is>
          <t>ÄLMHULT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46300</v>
      </c>
      <c r="F344" t="inlineStr">
        <is>
          <t>KRONOBERGS LÄN</t>
        </is>
      </c>
      <c r="G344" t="inlineStr">
        <is>
          <t>ÄLMHULT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45010</v>
      </c>
      <c r="E345" s="1" t="n">
        <v>46300</v>
      </c>
      <c r="F345" t="inlineStr">
        <is>
          <t>KRONOBERGS LÄN</t>
        </is>
      </c>
      <c r="G345" t="inlineStr">
        <is>
          <t>ÄLMHULT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46300</v>
      </c>
      <c r="F346" t="inlineStr">
        <is>
          <t>KRONOBERGS LÄN</t>
        </is>
      </c>
      <c r="G346" t="inlineStr">
        <is>
          <t>ÄLMHULT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45867</v>
      </c>
      <c r="E347" s="1" t="n">
        <v>46300</v>
      </c>
      <c r="F347" t="inlineStr">
        <is>
          <t>KRONOBERGS LÄN</t>
        </is>
      </c>
      <c r="G347" t="inlineStr">
        <is>
          <t>ÄLMHULT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46300</v>
      </c>
      <c r="F348" t="inlineStr">
        <is>
          <t>KRONOBERGS LÄN</t>
        </is>
      </c>
      <c r="G348" t="inlineStr">
        <is>
          <t>ÄLMHULT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46300</v>
      </c>
      <c r="F349" t="inlineStr">
        <is>
          <t>KRONOBERGS LÄN</t>
        </is>
      </c>
      <c r="G349" t="inlineStr">
        <is>
          <t>ÄLMHULT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46147</v>
      </c>
      <c r="E350" s="1" t="n">
        <v>46300</v>
      </c>
      <c r="F350" t="inlineStr">
        <is>
          <t>KRONOBERGS LÄN</t>
        </is>
      </c>
      <c r="G350" t="inlineStr">
        <is>
          <t>ÄLMHULT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24928-2023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45085</v>
      </c>
      <c r="E351" s="1" t="n">
        <v>46300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71802-2021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46300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44865</v>
      </c>
      <c r="E353" s="1" t="n">
        <v>46300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46300</v>
      </c>
      <c r="F354" t="inlineStr">
        <is>
          <t>KRONOBERGS LÄN</t>
        </is>
      </c>
      <c r="G354" t="inlineStr">
        <is>
          <t>ÄLMHULT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45048</v>
      </c>
      <c r="E355" s="1" t="n">
        <v>46300</v>
      </c>
      <c r="F355" t="inlineStr">
        <is>
          <t>KRONOBERGS LÄN</t>
        </is>
      </c>
      <c r="G355" t="inlineStr">
        <is>
          <t>ÄLMHULT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46300</v>
      </c>
      <c r="F356" t="inlineStr">
        <is>
          <t>KRONOBERGS LÄN</t>
        </is>
      </c>
      <c r="G356" t="inlineStr">
        <is>
          <t>ÄLMHULT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46300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46300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45282</v>
      </c>
      <c r="E359" s="1" t="n">
        <v>46300</v>
      </c>
      <c r="F359" t="inlineStr">
        <is>
          <t>KRONOBERGS LÄN</t>
        </is>
      </c>
      <c r="G359" t="inlineStr">
        <is>
          <t>ÄLMHULT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46300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63118-2023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46300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46300</v>
      </c>
      <c r="F362" t="inlineStr">
        <is>
          <t>KRONOBERGS LÄN</t>
        </is>
      </c>
      <c r="G362" t="inlineStr">
        <is>
          <t>ÄLMHULT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46300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46300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46300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46300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46300</v>
      </c>
      <c r="F367" t="inlineStr">
        <is>
          <t>KRONOBERGS LÄN</t>
        </is>
      </c>
      <c r="G367" t="inlineStr">
        <is>
          <t>ÄLMHULT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46300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45546</v>
      </c>
      <c r="E369" s="1" t="n">
        <v>46300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46300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46300</v>
      </c>
      <c r="F371" t="inlineStr">
        <is>
          <t>KRONOBERGS LÄN</t>
        </is>
      </c>
      <c r="G371" t="inlineStr">
        <is>
          <t>ÄLMHULT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46300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45311</v>
      </c>
      <c r="E373" s="1" t="n">
        <v>46300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46300</v>
      </c>
      <c r="F374" t="inlineStr">
        <is>
          <t>KRONOBERGS LÄN</t>
        </is>
      </c>
      <c r="G374" t="inlineStr">
        <is>
          <t>ÄLMHULT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45384</v>
      </c>
      <c r="E375" s="1" t="n">
        <v>46300</v>
      </c>
      <c r="F375" t="inlineStr">
        <is>
          <t>KRONOBERGS LÄN</t>
        </is>
      </c>
      <c r="G375" t="inlineStr">
        <is>
          <t>ÄLMHULT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45374</v>
      </c>
      <c r="E376" s="1" t="n">
        <v>46300</v>
      </c>
      <c r="F376" t="inlineStr">
        <is>
          <t>KRONOBERGS LÄN</t>
        </is>
      </c>
      <c r="G376" t="inlineStr">
        <is>
          <t>ÄLMHULT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46300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46300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46300</v>
      </c>
      <c r="F379" t="inlineStr">
        <is>
          <t>KRONOBERGS LÄN</t>
        </is>
      </c>
      <c r="G379" t="inlineStr">
        <is>
          <t>ÄLMHULT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46300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45314</v>
      </c>
      <c r="E381" s="1" t="n">
        <v>46300</v>
      </c>
      <c r="F381" t="inlineStr">
        <is>
          <t>KRONOBERGS LÄN</t>
        </is>
      </c>
      <c r="G381" t="inlineStr">
        <is>
          <t>ÄLMHULT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28026-2024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45476</v>
      </c>
      <c r="E382" s="1" t="n">
        <v>46300</v>
      </c>
      <c r="F382" t="inlineStr">
        <is>
          <t>KRONOBERGS LÄN</t>
        </is>
      </c>
      <c r="G382" t="inlineStr">
        <is>
          <t>ÄLMHULT</t>
        </is>
      </c>
      <c r="I382" t="n">
        <v>11.8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46300</v>
      </c>
      <c r="F383" t="inlineStr">
        <is>
          <t>KRONOBERGS LÄN</t>
        </is>
      </c>
      <c r="G383" t="inlineStr">
        <is>
          <t>ÄLMHULT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45303</v>
      </c>
      <c r="E384" s="1" t="n">
        <v>46300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45653</v>
      </c>
      <c r="E385" s="1" t="n">
        <v>46300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45653</v>
      </c>
      <c r="E386" s="1" t="n">
        <v>46300</v>
      </c>
      <c r="F386" t="inlineStr">
        <is>
          <t>KRONOBERGS LÄN</t>
        </is>
      </c>
      <c r="G386" t="inlineStr">
        <is>
          <t>ÄLMHULT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46300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45716</v>
      </c>
      <c r="E388" s="1" t="n">
        <v>46300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44973</v>
      </c>
      <c r="E389" s="1" t="n">
        <v>46300</v>
      </c>
      <c r="F389" t="inlineStr">
        <is>
          <t>KRONOBERGS LÄN</t>
        </is>
      </c>
      <c r="G389" t="inlineStr">
        <is>
          <t>ÄLMHULT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46300</v>
      </c>
      <c r="F390" t="inlineStr">
        <is>
          <t>KRONOBERGS LÄN</t>
        </is>
      </c>
      <c r="G390" t="inlineStr">
        <is>
          <t>ÄLMHULT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46300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46300</v>
      </c>
      <c r="F392" t="inlineStr">
        <is>
          <t>KRONOBERGS LÄN</t>
        </is>
      </c>
      <c r="G392" t="inlineStr">
        <is>
          <t>ÄLMHULT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45061</v>
      </c>
      <c r="E393" s="1" t="n">
        <v>46300</v>
      </c>
      <c r="F393" t="inlineStr">
        <is>
          <t>KRONOBERGS LÄN</t>
        </is>
      </c>
      <c r="G393" t="inlineStr">
        <is>
          <t>ÄLMHULT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46300</v>
      </c>
      <c r="F394" t="inlineStr">
        <is>
          <t>KRONOBERGS LÄN</t>
        </is>
      </c>
      <c r="G394" t="inlineStr">
        <is>
          <t>ÄLMHULT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46300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64999-2023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45286</v>
      </c>
      <c r="E396" s="1" t="n">
        <v>46300</v>
      </c>
      <c r="F396" t="inlineStr">
        <is>
          <t>KRONOBERGS LÄN</t>
        </is>
      </c>
      <c r="G396" t="inlineStr">
        <is>
          <t>ÄLMHULT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45181</v>
      </c>
      <c r="E397" s="1" t="n">
        <v>46300</v>
      </c>
      <c r="F397" t="inlineStr">
        <is>
          <t>KRONOBERGS LÄN</t>
        </is>
      </c>
      <c r="G397" t="inlineStr">
        <is>
          <t>ÄLMHULT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46300</v>
      </c>
      <c r="F398" t="inlineStr">
        <is>
          <t>KRONOBERGS LÄN</t>
        </is>
      </c>
      <c r="G398" t="inlineStr">
        <is>
          <t>ÄLMHULT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46300</v>
      </c>
      <c r="F399" t="inlineStr">
        <is>
          <t>KRONOBERGS LÄN</t>
        </is>
      </c>
      <c r="G399" t="inlineStr">
        <is>
          <t>ÄLMHULT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56955-2024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45628</v>
      </c>
      <c r="E400" s="1" t="n">
        <v>46300</v>
      </c>
      <c r="F400" t="inlineStr">
        <is>
          <t>KRONOBERGS LÄN</t>
        </is>
      </c>
      <c r="G400" t="inlineStr">
        <is>
          <t>ÄLMHULT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45352</v>
      </c>
      <c r="E401" s="1" t="n">
        <v>46300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45513</v>
      </c>
      <c r="E402" s="1" t="n">
        <v>46300</v>
      </c>
      <c r="F402" t="inlineStr">
        <is>
          <t>KRONOBERGS LÄN</t>
        </is>
      </c>
      <c r="G402" t="inlineStr">
        <is>
          <t>ÄLMHULT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46300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45680</v>
      </c>
      <c r="E404" s="1" t="n">
        <v>46300</v>
      </c>
      <c r="F404" t="inlineStr">
        <is>
          <t>KRONOBERGS LÄN</t>
        </is>
      </c>
      <c r="G404" t="inlineStr">
        <is>
          <t>ÄLMHULT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46184</v>
      </c>
      <c r="E405" s="1" t="n">
        <v>46300</v>
      </c>
      <c r="F405" t="inlineStr">
        <is>
          <t>KRONOBERGS LÄN</t>
        </is>
      </c>
      <c r="G405" t="inlineStr">
        <is>
          <t>ÄLMHULT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46300</v>
      </c>
      <c r="F406" t="inlineStr">
        <is>
          <t>KRONOBERGS LÄN</t>
        </is>
      </c>
      <c r="G406" t="inlineStr">
        <is>
          <t>ÄLMHULT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46300</v>
      </c>
      <c r="F407" t="inlineStr">
        <is>
          <t>KRONOBERGS LÄN</t>
        </is>
      </c>
      <c r="G407" t="inlineStr">
        <is>
          <t>ÄLMHULT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47537-2022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46300</v>
      </c>
      <c r="F408" t="inlineStr">
        <is>
          <t>KRONOBERGS LÄN</t>
        </is>
      </c>
      <c r="G408" t="inlineStr">
        <is>
          <t>ÄLMHULT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45251</v>
      </c>
      <c r="E409" s="1" t="n">
        <v>46300</v>
      </c>
      <c r="F409" t="inlineStr">
        <is>
          <t>KRONOBERGS LÄN</t>
        </is>
      </c>
      <c r="G409" t="inlineStr">
        <is>
          <t>ÄLMHULT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48159-2024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46300</v>
      </c>
      <c r="F410" t="inlineStr">
        <is>
          <t>KRONOBERGS LÄN</t>
        </is>
      </c>
      <c r="G410" t="inlineStr">
        <is>
          <t>ÄLMHULT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48687-2022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46300</v>
      </c>
      <c r="F411" t="inlineStr">
        <is>
          <t>KRONOBERGS LÄN</t>
        </is>
      </c>
      <c r="G411" t="inlineStr">
        <is>
          <t>ÄLMHULT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46300</v>
      </c>
      <c r="F412" t="inlineStr">
        <is>
          <t>KRONOBERGS LÄN</t>
        </is>
      </c>
      <c r="G412" t="inlineStr">
        <is>
          <t>ÄLMHULT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45680</v>
      </c>
      <c r="E413" s="1" t="n">
        <v>46300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46300</v>
      </c>
      <c r="F414" t="inlineStr">
        <is>
          <t>KRONOBERGS LÄN</t>
        </is>
      </c>
      <c r="G414" t="inlineStr">
        <is>
          <t>ÄLMHULT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45412</v>
      </c>
      <c r="E415" s="1" t="n">
        <v>46300</v>
      </c>
      <c r="F415" t="inlineStr">
        <is>
          <t>KRONOBERGS LÄN</t>
        </is>
      </c>
      <c r="G415" t="inlineStr">
        <is>
          <t>ÄLMHULT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45792</v>
      </c>
      <c r="E416" s="1" t="n">
        <v>46300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46300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45421</v>
      </c>
      <c r="E418" s="1" t="n">
        <v>46300</v>
      </c>
      <c r="F418" t="inlineStr">
        <is>
          <t>KRONOBERGS LÄN</t>
        </is>
      </c>
      <c r="G418" t="inlineStr">
        <is>
          <t>ÄLMHULT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46300</v>
      </c>
      <c r="F419" t="inlineStr">
        <is>
          <t>KRONOBERGS LÄN</t>
        </is>
      </c>
      <c r="G419" t="inlineStr">
        <is>
          <t>ÄLMHULT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46300</v>
      </c>
      <c r="F420" t="inlineStr">
        <is>
          <t>KRONOBERGS LÄN</t>
        </is>
      </c>
      <c r="G420" t="inlineStr">
        <is>
          <t>ÄLMHULT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45567</v>
      </c>
      <c r="E421" s="1" t="n">
        <v>46300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46300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46300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45268</v>
      </c>
      <c r="E424" s="1" t="n">
        <v>46300</v>
      </c>
      <c r="F424" t="inlineStr">
        <is>
          <t>KRONOBERGS LÄN</t>
        </is>
      </c>
      <c r="G424" t="inlineStr">
        <is>
          <t>ÄLMHULT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46300</v>
      </c>
      <c r="F425" t="inlineStr">
        <is>
          <t>KRONOBERGS LÄN</t>
        </is>
      </c>
      <c r="G425" t="inlineStr">
        <is>
          <t>ÄLMHULT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46300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46300</v>
      </c>
      <c r="F427" t="inlineStr">
        <is>
          <t>KRONOBERGS LÄN</t>
        </is>
      </c>
      <c r="G427" t="inlineStr">
        <is>
          <t>ÄLMHULT</t>
        </is>
      </c>
      <c r="H427" t="inlineStr">
        <is>
          <t>Kyrkan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46300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55629-2021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44476</v>
      </c>
      <c r="E429" s="1" t="n">
        <v>46300</v>
      </c>
      <c r="F429" t="inlineStr">
        <is>
          <t>KRONOBERGS LÄN</t>
        </is>
      </c>
      <c r="G429" t="inlineStr">
        <is>
          <t>ÄLMHULT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46202</v>
      </c>
      <c r="E430" s="1" t="n">
        <v>46300</v>
      </c>
      <c r="F430" t="inlineStr">
        <is>
          <t>KRONOBERGS LÄN</t>
        </is>
      </c>
      <c r="G430" t="inlineStr">
        <is>
          <t>ÄLMHULT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45698</v>
      </c>
      <c r="E431" s="1" t="n">
        <v>46300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45177</v>
      </c>
      <c r="E432" s="1" t="n">
        <v>46300</v>
      </c>
      <c r="F432" t="inlineStr">
        <is>
          <t>KRONOBERGS LÄN</t>
        </is>
      </c>
      <c r="G432" t="inlineStr">
        <is>
          <t>ÄLMHULT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46300</v>
      </c>
      <c r="F433" t="inlineStr">
        <is>
          <t>KRONOBERGS LÄN</t>
        </is>
      </c>
      <c r="G433" t="inlineStr">
        <is>
          <t>ÄLMHULT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11014-2023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44986</v>
      </c>
      <c r="E434" s="1" t="n">
        <v>46300</v>
      </c>
      <c r="F434" t="inlineStr">
        <is>
          <t>KRONOBERGS LÄN</t>
        </is>
      </c>
      <c r="G434" t="inlineStr">
        <is>
          <t>ÄLMHULT</t>
        </is>
      </c>
      <c r="H434" t="inlineStr">
        <is>
          <t>Kyrkan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46300</v>
      </c>
      <c r="F435" t="inlineStr">
        <is>
          <t>KRONOBERGS LÄN</t>
        </is>
      </c>
      <c r="G435" t="inlineStr">
        <is>
          <t>ÄLMHULT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46300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46300</v>
      </c>
      <c r="F437" t="inlineStr">
        <is>
          <t>KRONOBERGS LÄN</t>
        </is>
      </c>
      <c r="G437" t="inlineStr">
        <is>
          <t>ÄLMHULT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46300</v>
      </c>
      <c r="F438" t="inlineStr">
        <is>
          <t>KRONOBERGS LÄN</t>
        </is>
      </c>
      <c r="G438" t="inlineStr">
        <is>
          <t>ÄLMHULT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46300</v>
      </c>
      <c r="F439" t="inlineStr">
        <is>
          <t>KRONOBERGS LÄN</t>
        </is>
      </c>
      <c r="G439" t="inlineStr">
        <is>
          <t>ÄLMHULT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46300</v>
      </c>
      <c r="F440" t="inlineStr">
        <is>
          <t>KRONOBERGS LÄN</t>
        </is>
      </c>
      <c r="G440" t="inlineStr">
        <is>
          <t>ÄLMHULT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45175</v>
      </c>
      <c r="E441" s="1" t="n">
        <v>46300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46300</v>
      </c>
      <c r="F442" t="inlineStr">
        <is>
          <t>KRONOBERGS LÄN</t>
        </is>
      </c>
      <c r="G442" t="inlineStr">
        <is>
          <t>ÄLMHULT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46300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46300</v>
      </c>
      <c r="F444" t="inlineStr">
        <is>
          <t>KRONOBERGS LÄN</t>
        </is>
      </c>
      <c r="G444" t="inlineStr">
        <is>
          <t>ÄLMHULT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45081</v>
      </c>
      <c r="E445" s="1" t="n">
        <v>46300</v>
      </c>
      <c r="F445" t="inlineStr">
        <is>
          <t>KRONOBERGS LÄN</t>
        </is>
      </c>
      <c r="G445" t="inlineStr">
        <is>
          <t>ÄLMHULT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46300</v>
      </c>
      <c r="F446" t="inlineStr">
        <is>
          <t>KRONOBERGS LÄN</t>
        </is>
      </c>
      <c r="G446" t="inlineStr">
        <is>
          <t>ÄLMHULT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46300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49442-2024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45595</v>
      </c>
      <c r="E448" s="1" t="n">
        <v>46300</v>
      </c>
      <c r="F448" t="inlineStr">
        <is>
          <t>KRONOBERGS LÄN</t>
        </is>
      </c>
      <c r="G448" t="inlineStr">
        <is>
          <t>ÄLMHULT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44942</v>
      </c>
      <c r="E449" s="1" t="n">
        <v>46300</v>
      </c>
      <c r="F449" t="inlineStr">
        <is>
          <t>KRONOBERGS LÄN</t>
        </is>
      </c>
      <c r="G449" t="inlineStr">
        <is>
          <t>ÄLMHULT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45391</v>
      </c>
      <c r="E450" s="1" t="n">
        <v>46300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11585-2024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45373</v>
      </c>
      <c r="E451" s="1" t="n">
        <v>46300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45373</v>
      </c>
      <c r="E452" s="1" t="n">
        <v>46300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46300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46257</v>
      </c>
      <c r="E454" s="1" t="n">
        <v>46300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46300</v>
      </c>
      <c r="F455" t="inlineStr">
        <is>
          <t>KRONOBERGS LÄN</t>
        </is>
      </c>
      <c r="G455" t="inlineStr">
        <is>
          <t>ÄLMHULT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46300</v>
      </c>
      <c r="F456" t="inlineStr">
        <is>
          <t>KRONOBERGS LÄN</t>
        </is>
      </c>
      <c r="G456" t="inlineStr">
        <is>
          <t>ÄLMHULT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46216</v>
      </c>
      <c r="E457" s="1" t="n">
        <v>46300</v>
      </c>
      <c r="F457" t="inlineStr">
        <is>
          <t>KRONOBERGS LÄN</t>
        </is>
      </c>
      <c r="G457" t="inlineStr">
        <is>
          <t>ÄLMHULT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46300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46216</v>
      </c>
      <c r="E459" s="1" t="n">
        <v>46300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46300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46300</v>
      </c>
      <c r="F461" t="inlineStr">
        <is>
          <t>KRONOBERGS LÄN</t>
        </is>
      </c>
      <c r="G461" t="inlineStr">
        <is>
          <t>ÄLMHULT</t>
        </is>
      </c>
      <c r="H461" t="inlineStr">
        <is>
          <t>Sveaskog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46300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45564</v>
      </c>
      <c r="E463" s="1" t="n">
        <v>46300</v>
      </c>
      <c r="F463" t="inlineStr">
        <is>
          <t>KRONOBERGS LÄN</t>
        </is>
      </c>
      <c r="G463" t="inlineStr">
        <is>
          <t>ÄLMHULT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45010</v>
      </c>
      <c r="E464" s="1" t="n">
        <v>46300</v>
      </c>
      <c r="F464" t="inlineStr">
        <is>
          <t>KRONOBERGS LÄN</t>
        </is>
      </c>
      <c r="G464" t="inlineStr">
        <is>
          <t>ÄLMHULT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46300</v>
      </c>
      <c r="F465" t="inlineStr">
        <is>
          <t>KRONOBERGS LÄN</t>
        </is>
      </c>
      <c r="G465" t="inlineStr">
        <is>
          <t>ÄLMHULT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45113</v>
      </c>
      <c r="E466" s="1" t="n">
        <v>46300</v>
      </c>
      <c r="F466" t="inlineStr">
        <is>
          <t>KRONOBERGS LÄN</t>
        </is>
      </c>
      <c r="G466" t="inlineStr">
        <is>
          <t>ÄLMHULT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45214</v>
      </c>
      <c r="E467" s="1" t="n">
        <v>46300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50541-2023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45217</v>
      </c>
      <c r="E468" s="1" t="n">
        <v>46300</v>
      </c>
      <c r="F468" t="inlineStr">
        <is>
          <t>KRONOBERGS LÄN</t>
        </is>
      </c>
      <c r="G468" t="inlineStr">
        <is>
          <t>ÄLMHULT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45156</v>
      </c>
      <c r="E469" s="1" t="n">
        <v>46300</v>
      </c>
      <c r="F469" t="inlineStr">
        <is>
          <t>KRONOBERGS LÄN</t>
        </is>
      </c>
      <c r="G469" t="inlineStr">
        <is>
          <t>ÄLMHULT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46300</v>
      </c>
      <c r="F470" t="inlineStr">
        <is>
          <t>KRONOBERGS LÄN</t>
        </is>
      </c>
      <c r="G470" t="inlineStr">
        <is>
          <t>ÄLMHULT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45539</v>
      </c>
      <c r="E471" s="1" t="n">
        <v>46300</v>
      </c>
      <c r="F471" t="inlineStr">
        <is>
          <t>KRONOBERGS LÄN</t>
        </is>
      </c>
      <c r="G471" t="inlineStr">
        <is>
          <t>ÄLMHULT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45355</v>
      </c>
      <c r="E472" s="1" t="n">
        <v>46300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54500-2022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44882</v>
      </c>
      <c r="E473" s="1" t="n">
        <v>46300</v>
      </c>
      <c r="F473" t="inlineStr">
        <is>
          <t>KRONOBERGS LÄN</t>
        </is>
      </c>
      <c r="G473" t="inlineStr">
        <is>
          <t>ÄLMHULT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46300</v>
      </c>
      <c r="F474" t="inlineStr">
        <is>
          <t>KRONOBERGS LÄN</t>
        </is>
      </c>
      <c r="G474" t="inlineStr">
        <is>
          <t>ÄLMHULT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41577-2023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45175</v>
      </c>
      <c r="E475" s="1" t="n">
        <v>46300</v>
      </c>
      <c r="F475" t="inlineStr">
        <is>
          <t>KRONOBERGS LÄN</t>
        </is>
      </c>
      <c r="G475" t="inlineStr">
        <is>
          <t>ÄLMHULT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45076</v>
      </c>
      <c r="E476" s="1" t="n">
        <v>46300</v>
      </c>
      <c r="F476" t="inlineStr">
        <is>
          <t>KRONOBERGS LÄN</t>
        </is>
      </c>
      <c r="G476" t="inlineStr">
        <is>
          <t>ÄLMHULT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45076</v>
      </c>
      <c r="E477" s="1" t="n">
        <v>46300</v>
      </c>
      <c r="F477" t="inlineStr">
        <is>
          <t>KRONOBERGS LÄN</t>
        </is>
      </c>
      <c r="G477" t="inlineStr">
        <is>
          <t>ÄLMHULT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46300</v>
      </c>
      <c r="F478" t="inlineStr">
        <is>
          <t>KRONOBERGS LÄN</t>
        </is>
      </c>
      <c r="G478" t="inlineStr">
        <is>
          <t>ÄLMHULT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46300</v>
      </c>
      <c r="F479" t="inlineStr">
        <is>
          <t>KRONOBERGS LÄN</t>
        </is>
      </c>
      <c r="G479" t="inlineStr">
        <is>
          <t>ÄLMHULT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46226</v>
      </c>
      <c r="E480" s="1" t="n">
        <v>46300</v>
      </c>
      <c r="F480" t="inlineStr">
        <is>
          <t>KRONOBERGS LÄN</t>
        </is>
      </c>
      <c r="G480" t="inlineStr">
        <is>
          <t>ÄLMHULT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46300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46226</v>
      </c>
      <c r="E482" s="1" t="n">
        <v>46300</v>
      </c>
      <c r="F482" t="inlineStr">
        <is>
          <t>KRONOBERGS LÄN</t>
        </is>
      </c>
      <c r="G482" t="inlineStr">
        <is>
          <t>ÄLMHULT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45653</v>
      </c>
      <c r="E483" s="1" t="n">
        <v>46300</v>
      </c>
      <c r="F483" t="inlineStr">
        <is>
          <t>KRONOBERGS LÄN</t>
        </is>
      </c>
      <c r="G483" t="inlineStr">
        <is>
          <t>ÄLMHULT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68212-2021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44526</v>
      </c>
      <c r="E484" s="1" t="n">
        <v>46300</v>
      </c>
      <c r="F484" t="inlineStr">
        <is>
          <t>KRONOBERGS LÄN</t>
        </is>
      </c>
      <c r="G484" t="inlineStr">
        <is>
          <t>ÄLMHULT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45612</v>
      </c>
      <c r="E485" s="1" t="n">
        <v>46300</v>
      </c>
      <c r="F485" t="inlineStr">
        <is>
          <t>KRONOBERGS LÄN</t>
        </is>
      </c>
      <c r="G485" t="inlineStr">
        <is>
          <t>ÄLMHULT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46227</v>
      </c>
      <c r="E486" s="1" t="n">
        <v>46300</v>
      </c>
      <c r="F486" t="inlineStr">
        <is>
          <t>KRONOBERGS LÄN</t>
        </is>
      </c>
      <c r="G486" t="inlineStr">
        <is>
          <t>ÄLMHULT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56660-2024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45625</v>
      </c>
      <c r="E487" s="1" t="n">
        <v>46300</v>
      </c>
      <c r="F487" t="inlineStr">
        <is>
          <t>KRONOBERGS LÄN</t>
        </is>
      </c>
      <c r="G487" t="inlineStr">
        <is>
          <t>ÄLMHULT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46227</v>
      </c>
      <c r="E488" s="1" t="n">
        <v>46300</v>
      </c>
      <c r="F488" t="inlineStr">
        <is>
          <t>KRONOBERGS LÄN</t>
        </is>
      </c>
      <c r="G488" t="inlineStr">
        <is>
          <t>ÄLMHULT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38823-2022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44816</v>
      </c>
      <c r="E489" s="1" t="n">
        <v>46300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45222</v>
      </c>
      <c r="E490" s="1" t="n">
        <v>46300</v>
      </c>
      <c r="F490" t="inlineStr">
        <is>
          <t>KRONOBERGS LÄN</t>
        </is>
      </c>
      <c r="G490" t="inlineStr">
        <is>
          <t>ÄLMHULT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32126-2026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46234</v>
      </c>
      <c r="E491" s="1" t="n">
        <v>46300</v>
      </c>
      <c r="F491" t="inlineStr">
        <is>
          <t>KRONOBERGS LÄN</t>
        </is>
      </c>
      <c r="G491" t="inlineStr">
        <is>
          <t>ÄLMHULT</t>
        </is>
      </c>
      <c r="H491" t="inlineStr">
        <is>
          <t>Kommuner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49578-2023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46300</v>
      </c>
      <c r="F492" t="inlineStr">
        <is>
          <t>KRONOBERGS LÄN</t>
        </is>
      </c>
      <c r="G492" t="inlineStr">
        <is>
          <t>ÄLMHULT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46300</v>
      </c>
      <c r="F493" t="inlineStr">
        <is>
          <t>KRONOBERGS LÄN</t>
        </is>
      </c>
      <c r="G493" t="inlineStr">
        <is>
          <t>ÄLMHULT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45435</v>
      </c>
      <c r="E494" s="1" t="n">
        <v>46300</v>
      </c>
      <c r="F494" t="inlineStr">
        <is>
          <t>KRONOBERGS LÄN</t>
        </is>
      </c>
      <c r="G494" t="inlineStr">
        <is>
          <t>ÄLMHULT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20380-2024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46300</v>
      </c>
      <c r="F495" t="inlineStr">
        <is>
          <t>KRONOBERGS LÄN</t>
        </is>
      </c>
      <c r="G495" t="inlineStr">
        <is>
          <t>ÄLMHULT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46300</v>
      </c>
      <c r="F496" t="inlineStr">
        <is>
          <t>KRONOBERGS LÄN</t>
        </is>
      </c>
      <c r="G496" t="inlineStr">
        <is>
          <t>ÄLMHULT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44911</v>
      </c>
      <c r="E497" s="1" t="n">
        <v>46300</v>
      </c>
      <c r="F497" t="inlineStr">
        <is>
          <t>KRONOBERGS LÄN</t>
        </is>
      </c>
      <c r="G497" t="inlineStr">
        <is>
          <t>ÄLMHULT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46280</v>
      </c>
      <c r="E498" s="1" t="n">
        <v>46300</v>
      </c>
      <c r="F498" t="inlineStr">
        <is>
          <t>KRONOBERGS LÄN</t>
        </is>
      </c>
      <c r="G498" t="inlineStr">
        <is>
          <t>ÄLMHULT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15770-2025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45748</v>
      </c>
      <c r="E499" s="1" t="n">
        <v>46300</v>
      </c>
      <c r="F499" t="inlineStr">
        <is>
          <t>KRONOBERGS LÄN</t>
        </is>
      </c>
      <c r="G499" t="inlineStr">
        <is>
          <t>ÄLMHULT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45378</v>
      </c>
      <c r="E500" s="1" t="n">
        <v>46300</v>
      </c>
      <c r="F500" t="inlineStr">
        <is>
          <t>KRONOBERGS LÄN</t>
        </is>
      </c>
      <c r="G500" t="inlineStr">
        <is>
          <t>ÄLMHULT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46300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46300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46300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46300</v>
      </c>
      <c r="F504" t="inlineStr">
        <is>
          <t>KRONOBERGS LÄN</t>
        </is>
      </c>
      <c r="G504" t="inlineStr">
        <is>
          <t>ÄLMHULT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45588</v>
      </c>
      <c r="E505" s="1" t="n">
        <v>46300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46240</v>
      </c>
      <c r="E506" s="1" t="n">
        <v>46300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57574-2023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46300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46300</v>
      </c>
      <c r="F508" t="inlineStr">
        <is>
          <t>KRONOBERGS LÄN</t>
        </is>
      </c>
      <c r="G508" t="inlineStr">
        <is>
          <t>ÄLMHULT</t>
        </is>
      </c>
      <c r="H508" t="inlineStr">
        <is>
          <t>Kyrkan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46300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50183-2022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44865</v>
      </c>
      <c r="E510" s="1" t="n">
        <v>46300</v>
      </c>
      <c r="F510" t="inlineStr">
        <is>
          <t>KRONOBERGS LÄN</t>
        </is>
      </c>
      <c r="G510" t="inlineStr">
        <is>
          <t>ÄLMHULT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20120-2022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44698</v>
      </c>
      <c r="E511" s="1" t="n">
        <v>46300</v>
      </c>
      <c r="F511" t="inlineStr">
        <is>
          <t>KRONOBERGS LÄN</t>
        </is>
      </c>
      <c r="G511" t="inlineStr">
        <is>
          <t>ÄLMHULT</t>
        </is>
      </c>
      <c r="I511" t="n">
        <v>11.9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46300</v>
      </c>
      <c r="F512" t="inlineStr">
        <is>
          <t>KRONOBERGS LÄN</t>
        </is>
      </c>
      <c r="G512" t="inlineStr">
        <is>
          <t>ÄLMHULT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44672-2023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45189</v>
      </c>
      <c r="E513" s="1" t="n">
        <v>46300</v>
      </c>
      <c r="F513" t="inlineStr">
        <is>
          <t>KRONOBERGS LÄN</t>
        </is>
      </c>
      <c r="G513" t="inlineStr">
        <is>
          <t>ÄLMHULT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43522-2025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45911</v>
      </c>
      <c r="E514" s="1" t="n">
        <v>46300</v>
      </c>
      <c r="F514" t="inlineStr">
        <is>
          <t>KRONOBERGS LÄN</t>
        </is>
      </c>
      <c r="G514" t="inlineStr">
        <is>
          <t>ÄLMHULT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46300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18575-2022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44687</v>
      </c>
      <c r="E516" s="1" t="n">
        <v>46300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45467</v>
      </c>
      <c r="E517" s="1" t="n">
        <v>46300</v>
      </c>
      <c r="F517" t="inlineStr">
        <is>
          <t>KRONOBERGS LÄN</t>
        </is>
      </c>
      <c r="G517" t="inlineStr">
        <is>
          <t>ÄLMHULT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49565-2023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46300</v>
      </c>
      <c r="F518" t="inlineStr">
        <is>
          <t>KRONOBERGS LÄN</t>
        </is>
      </c>
      <c r="G518" t="inlineStr">
        <is>
          <t>ÄLMHULT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46300</v>
      </c>
      <c r="F519" t="inlineStr">
        <is>
          <t>KRONOBERGS LÄN</t>
        </is>
      </c>
      <c r="G519" t="inlineStr">
        <is>
          <t>ÄLMHULT</t>
        </is>
      </c>
      <c r="I519" t="n">
        <v>29.1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46300</v>
      </c>
      <c r="F520" t="inlineStr">
        <is>
          <t>KRONOBERGS LÄN</t>
        </is>
      </c>
      <c r="G520" t="inlineStr">
        <is>
          <t>ÄLMHULT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45450</v>
      </c>
      <c r="E521" s="1" t="n">
        <v>46300</v>
      </c>
      <c r="F521" t="inlineStr">
        <is>
          <t>KRONOBERGS LÄN</t>
        </is>
      </c>
      <c r="G521" t="inlineStr">
        <is>
          <t>ÄLMHULT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46300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46300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46300</v>
      </c>
      <c r="F524" t="inlineStr">
        <is>
          <t>KRONOBERGS LÄN</t>
        </is>
      </c>
      <c r="G524" t="inlineStr">
        <is>
          <t>ÄLMHULT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33261-2026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46300</v>
      </c>
      <c r="F525" t="inlineStr">
        <is>
          <t>KRONOBERGS LÄN</t>
        </is>
      </c>
      <c r="G525" t="inlineStr">
        <is>
          <t>ÄLMHULT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46300</v>
      </c>
      <c r="F526" t="inlineStr">
        <is>
          <t>KRONOBERGS LÄN</t>
        </is>
      </c>
      <c r="G526" t="inlineStr">
        <is>
          <t>ÄLMHULT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39056-2026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46287</v>
      </c>
      <c r="E527" s="1" t="n">
        <v>46300</v>
      </c>
      <c r="F527" t="inlineStr">
        <is>
          <t>KRONOBERGS LÄN</t>
        </is>
      </c>
      <c r="G527" t="inlineStr">
        <is>
          <t>ÄLMHULT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46300</v>
      </c>
      <c r="F528" t="inlineStr">
        <is>
          <t>KRONOBERGS LÄN</t>
        </is>
      </c>
      <c r="G528" t="inlineStr">
        <is>
          <t>ÄLMHULT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45051</v>
      </c>
      <c r="E529" s="1" t="n">
        <v>46300</v>
      </c>
      <c r="F529" t="inlineStr">
        <is>
          <t>KRONOBERGS LÄN</t>
        </is>
      </c>
      <c r="G529" t="inlineStr">
        <is>
          <t>ÄLMHULT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46300</v>
      </c>
      <c r="F530" t="inlineStr">
        <is>
          <t>KRONOBERGS LÄN</t>
        </is>
      </c>
      <c r="G530" t="inlineStr">
        <is>
          <t>ÄLMHULT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46287</v>
      </c>
      <c r="E531" s="1" t="n">
        <v>46300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46300</v>
      </c>
      <c r="F532" t="inlineStr">
        <is>
          <t>KRONOBERGS LÄN</t>
        </is>
      </c>
      <c r="G532" t="inlineStr">
        <is>
          <t>ÄLMHULT</t>
        </is>
      </c>
      <c r="I532" t="n">
        <v>9.800000000000001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46300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46300</v>
      </c>
      <c r="F534" t="inlineStr">
        <is>
          <t>KRONOBERGS LÄN</t>
        </is>
      </c>
      <c r="G534" t="inlineStr">
        <is>
          <t>ÄLMHULT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45078</v>
      </c>
      <c r="E535" s="1" t="n">
        <v>46300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46300</v>
      </c>
      <c r="F536" t="inlineStr">
        <is>
          <t>KRONOBERGS LÄN</t>
        </is>
      </c>
      <c r="G536" t="inlineStr">
        <is>
          <t>ÄLMHULT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46300</v>
      </c>
      <c r="F537" t="inlineStr">
        <is>
          <t>KRONOBERGS LÄN</t>
        </is>
      </c>
      <c r="G537" t="inlineStr">
        <is>
          <t>ÄLMHULT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44502-2025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45916</v>
      </c>
      <c r="E538" s="1" t="n">
        <v>46300</v>
      </c>
      <c r="F538" t="inlineStr">
        <is>
          <t>KRONOBERGS LÄN</t>
        </is>
      </c>
      <c r="G538" t="inlineStr">
        <is>
          <t>ÄLMHULT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46300</v>
      </c>
      <c r="F539" t="inlineStr">
        <is>
          <t>KRONOBERGS LÄN</t>
        </is>
      </c>
      <c r="G539" t="inlineStr">
        <is>
          <t>ÄLMHULT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44445-2024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45574</v>
      </c>
      <c r="E540" s="1" t="n">
        <v>46300</v>
      </c>
      <c r="F540" t="inlineStr">
        <is>
          <t>KRONOBERGS LÄN</t>
        </is>
      </c>
      <c r="G540" t="inlineStr">
        <is>
          <t>ÄLMHULT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46248</v>
      </c>
      <c r="E541" s="1" t="n">
        <v>46300</v>
      </c>
      <c r="F541" t="inlineStr">
        <is>
          <t>KRONOBERGS LÄN</t>
        </is>
      </c>
      <c r="G541" t="inlineStr">
        <is>
          <t>ÄLMHULT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24248-2026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46300</v>
      </c>
      <c r="F542" t="inlineStr">
        <is>
          <t>KRONOBERGS LÄN</t>
        </is>
      </c>
      <c r="G542" t="inlineStr">
        <is>
          <t>ÄLMHULT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46300</v>
      </c>
      <c r="F543" t="inlineStr">
        <is>
          <t>KRONOBERGS LÄN</t>
        </is>
      </c>
      <c r="G543" t="inlineStr">
        <is>
          <t>ÄLMHULT</t>
        </is>
      </c>
      <c r="H543" t="inlineStr">
        <is>
          <t>Kyrkan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33673-2026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46248</v>
      </c>
      <c r="E544" s="1" t="n">
        <v>46300</v>
      </c>
      <c r="F544" t="inlineStr">
        <is>
          <t>KRONOBERGS LÄN</t>
        </is>
      </c>
      <c r="G544" t="inlineStr">
        <is>
          <t>ÄLMHULT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46300</v>
      </c>
      <c r="F545" t="inlineStr">
        <is>
          <t>KRONOBERGS LÄN</t>
        </is>
      </c>
      <c r="G545" t="inlineStr">
        <is>
          <t>ÄLMHULT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46300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46300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46300</v>
      </c>
      <c r="F548" t="inlineStr">
        <is>
          <t>KRONOBERGS LÄN</t>
        </is>
      </c>
      <c r="G548" t="inlineStr">
        <is>
          <t>ÄLMHULT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46290</v>
      </c>
      <c r="E549" s="1" t="n">
        <v>46300</v>
      </c>
      <c r="F549" t="inlineStr">
        <is>
          <t>KRONOBERGS LÄN</t>
        </is>
      </c>
      <c r="G549" t="inlineStr">
        <is>
          <t>ÄLMHULT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56853-2023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46300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45687</v>
      </c>
      <c r="E551" s="1" t="n">
        <v>46300</v>
      </c>
      <c r="F551" t="inlineStr">
        <is>
          <t>KRONOBERGS LÄN</t>
        </is>
      </c>
      <c r="G551" t="inlineStr">
        <is>
          <t>ÄLMHULT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48282-2022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44858</v>
      </c>
      <c r="E552" s="1" t="n">
        <v>46300</v>
      </c>
      <c r="F552" t="inlineStr">
        <is>
          <t>KRONOBERGS LÄN</t>
        </is>
      </c>
      <c r="G552" t="inlineStr">
        <is>
          <t>ÄLMHULT</t>
        </is>
      </c>
      <c r="I552" t="n">
        <v>14.2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35478-2026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46262</v>
      </c>
      <c r="E553" s="1" t="n">
        <v>46300</v>
      </c>
      <c r="F553" t="inlineStr">
        <is>
          <t>KRONOBERGS LÄN</t>
        </is>
      </c>
      <c r="G553" t="inlineStr">
        <is>
          <t>ÄLMHULT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37064-2024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45539</v>
      </c>
      <c r="E554" s="1" t="n">
        <v>46300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52332-2024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46300</v>
      </c>
      <c r="F555" t="inlineStr">
        <is>
          <t>KRONOBERGS LÄN</t>
        </is>
      </c>
      <c r="G555" t="inlineStr">
        <is>
          <t>ÄLMHULT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46300</v>
      </c>
      <c r="F556" t="inlineStr">
        <is>
          <t>KRONOBERGS LÄN</t>
        </is>
      </c>
      <c r="G556" t="inlineStr">
        <is>
          <t>ÄLMHULT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69444-2021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44531</v>
      </c>
      <c r="E557" s="1" t="n">
        <v>46300</v>
      </c>
      <c r="F557" t="inlineStr">
        <is>
          <t>KRONOBERGS LÄN</t>
        </is>
      </c>
      <c r="G557" t="inlineStr">
        <is>
          <t>ÄLMHULT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46300</v>
      </c>
      <c r="F558" t="inlineStr">
        <is>
          <t>KRONOBERGS LÄN</t>
        </is>
      </c>
      <c r="G558" t="inlineStr">
        <is>
          <t>ÄLMHULT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40479-2026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46295</v>
      </c>
      <c r="E559" s="1" t="n">
        <v>46300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45679</v>
      </c>
      <c r="E560" s="1" t="n">
        <v>46300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40320-2026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46300</v>
      </c>
      <c r="F561" t="inlineStr">
        <is>
          <t>KRONOBERGS LÄN</t>
        </is>
      </c>
      <c r="G561" t="inlineStr">
        <is>
          <t>ÄLMHULT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48559-2022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46300</v>
      </c>
      <c r="F562" t="inlineStr">
        <is>
          <t>KRONOBERGS LÄN</t>
        </is>
      </c>
      <c r="G562" t="inlineStr">
        <is>
          <t>ÄLMHULT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69454-2021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44531</v>
      </c>
      <c r="E563" s="1" t="n">
        <v>46300</v>
      </c>
      <c r="F563" t="inlineStr">
        <is>
          <t>KRONOBERGS LÄN</t>
        </is>
      </c>
      <c r="G563" t="inlineStr">
        <is>
          <t>ÄLMHULT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46295</v>
      </c>
      <c r="E564" s="1" t="n">
        <v>46300</v>
      </c>
      <c r="F564" t="inlineStr">
        <is>
          <t>KRONOBERGS LÄN</t>
        </is>
      </c>
      <c r="G564" t="inlineStr">
        <is>
          <t>ÄLMHULT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46300</v>
      </c>
      <c r="F565" t="inlineStr">
        <is>
          <t>KRONOBERGS LÄN</t>
        </is>
      </c>
      <c r="G565" t="inlineStr">
        <is>
          <t>ÄLMHULT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46300</v>
      </c>
      <c r="F566" t="inlineStr">
        <is>
          <t>KRONOBERGS LÄN</t>
        </is>
      </c>
      <c r="G566" t="inlineStr">
        <is>
          <t>ÄLMHULT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46300</v>
      </c>
      <c r="F567" t="inlineStr">
        <is>
          <t>KRONOBERGS LÄN</t>
        </is>
      </c>
      <c r="G567" t="inlineStr">
        <is>
          <t>ÄLMHULT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22415-2024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45446</v>
      </c>
      <c r="E568" s="1" t="n">
        <v>46300</v>
      </c>
      <c r="F568" t="inlineStr">
        <is>
          <t>KRONOBERGS LÄN</t>
        </is>
      </c>
      <c r="G568" t="inlineStr">
        <is>
          <t>ÄLMHULT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45616</v>
      </c>
      <c r="E569" s="1" t="n">
        <v>46300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46300</v>
      </c>
      <c r="F570" t="inlineStr">
        <is>
          <t>KRONOBERGS LÄN</t>
        </is>
      </c>
      <c r="G570" t="inlineStr">
        <is>
          <t>ÄLMHULT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44587</v>
      </c>
      <c r="E571" s="1" t="n">
        <v>46300</v>
      </c>
      <c r="F571" t="inlineStr">
        <is>
          <t>KRONOBERGS LÄN</t>
        </is>
      </c>
      <c r="G571" t="inlineStr">
        <is>
          <t>ÄLMHULT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45770</v>
      </c>
      <c r="E572" s="1" t="n">
        <v>46300</v>
      </c>
      <c r="F572" t="inlineStr">
        <is>
          <t>KRONOBERGS LÄN</t>
        </is>
      </c>
      <c r="G572" t="inlineStr">
        <is>
          <t>ÄLMHULT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44582</v>
      </c>
      <c r="E573" s="1" t="n">
        <v>46300</v>
      </c>
      <c r="F573" t="inlineStr">
        <is>
          <t>KRONOBERGS LÄN</t>
        </is>
      </c>
      <c r="G573" t="inlineStr">
        <is>
          <t>ÄLMHULT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45759</v>
      </c>
      <c r="E574" s="1" t="n">
        <v>46300</v>
      </c>
      <c r="F574" t="inlineStr">
        <is>
          <t>KRONOBERGS LÄN</t>
        </is>
      </c>
      <c r="G574" t="inlineStr">
        <is>
          <t>ÄLMHULT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46300</v>
      </c>
      <c r="F575" t="inlineStr">
        <is>
          <t>KRONOBERGS LÄN</t>
        </is>
      </c>
      <c r="G575" t="inlineStr">
        <is>
          <t>ÄLMHULT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46300</v>
      </c>
      <c r="F576" t="inlineStr">
        <is>
          <t>KRONOBERGS LÄN</t>
        </is>
      </c>
      <c r="G576" t="inlineStr">
        <is>
          <t>ÄLMHULT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46300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59114-2022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44897</v>
      </c>
      <c r="E578" s="1" t="n">
        <v>46300</v>
      </c>
      <c r="F578" t="inlineStr">
        <is>
          <t>KRONOBERGS LÄN</t>
        </is>
      </c>
      <c r="G578" t="inlineStr">
        <is>
          <t>ÄLMHULT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45583</v>
      </c>
      <c r="E579" s="1" t="n">
        <v>46300</v>
      </c>
      <c r="F579" t="inlineStr">
        <is>
          <t>KRONOBERGS LÄN</t>
        </is>
      </c>
      <c r="G579" t="inlineStr">
        <is>
          <t>ÄLMHULT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49041-2024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45594</v>
      </c>
      <c r="E580" s="1" t="n">
        <v>46300</v>
      </c>
      <c r="F580" t="inlineStr">
        <is>
          <t>KRONOBERGS LÄN</t>
        </is>
      </c>
      <c r="G580" t="inlineStr">
        <is>
          <t>ÄLMHULT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45469</v>
      </c>
      <c r="E581" s="1" t="n">
        <v>46300</v>
      </c>
      <c r="F581" t="inlineStr">
        <is>
          <t>KRONOBERGS LÄN</t>
        </is>
      </c>
      <c r="G581" t="inlineStr">
        <is>
          <t>ÄLMHULT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45401</v>
      </c>
      <c r="E582" s="1" t="n">
        <v>46300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45092</v>
      </c>
      <c r="E583" s="1" t="n">
        <v>46300</v>
      </c>
      <c r="F583" t="inlineStr">
        <is>
          <t>KRONOBERGS LÄN</t>
        </is>
      </c>
      <c r="G583" t="inlineStr">
        <is>
          <t>ÄLMHULT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46300</v>
      </c>
      <c r="F584" t="inlineStr">
        <is>
          <t>KRONOBERGS LÄN</t>
        </is>
      </c>
      <c r="G584" t="inlineStr">
        <is>
          <t>ÄLMHULT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28693-2023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45103</v>
      </c>
      <c r="E585" s="1" t="n">
        <v>46300</v>
      </c>
      <c r="F585" t="inlineStr">
        <is>
          <t>KRONOBERGS LÄN</t>
        </is>
      </c>
      <c r="G585" t="inlineStr">
        <is>
          <t>ÄLMHULT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30370-2022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44760</v>
      </c>
      <c r="E586" s="1" t="n">
        <v>46300</v>
      </c>
      <c r="F586" t="inlineStr">
        <is>
          <t>KRONOBERGS LÄN</t>
        </is>
      </c>
      <c r="G586" t="inlineStr">
        <is>
          <t>ÄLMHULT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68189-2021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44526</v>
      </c>
      <c r="E587" s="1" t="n">
        <v>46300</v>
      </c>
      <c r="F587" t="inlineStr">
        <is>
          <t>KRONOBERGS LÄN</t>
        </is>
      </c>
      <c r="G587" t="inlineStr">
        <is>
          <t>ÄLMHULT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62481-2023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46300</v>
      </c>
      <c r="F588" t="inlineStr">
        <is>
          <t>KRONOBERGS LÄN</t>
        </is>
      </c>
      <c r="G588" t="inlineStr">
        <is>
          <t>ÄLMHULT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46300</v>
      </c>
      <c r="F589" t="inlineStr">
        <is>
          <t>KRONOBERGS LÄN</t>
        </is>
      </c>
      <c r="G589" t="inlineStr">
        <is>
          <t>ÄLMHULT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56846-2023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45244</v>
      </c>
      <c r="E590" s="1" t="n">
        <v>46300</v>
      </c>
      <c r="F590" t="inlineStr">
        <is>
          <t>KRONOBERGS LÄN</t>
        </is>
      </c>
      <c r="G590" t="inlineStr">
        <is>
          <t>ÄLMHULT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45051</v>
      </c>
      <c r="E591" s="1" t="n">
        <v>46300</v>
      </c>
      <c r="F591" t="inlineStr">
        <is>
          <t>KRONOBERGS LÄN</t>
        </is>
      </c>
      <c r="G591" t="inlineStr">
        <is>
          <t>ÄLMHULT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45176</v>
      </c>
      <c r="E592" s="1" t="n">
        <v>46300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62122-2022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44921</v>
      </c>
      <c r="E593" s="1" t="n">
        <v>46300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46300</v>
      </c>
      <c r="F594" t="inlineStr">
        <is>
          <t>KRONOBERGS LÄN</t>
        </is>
      </c>
      <c r="G594" t="inlineStr">
        <is>
          <t>ÄLMHULT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44568</v>
      </c>
      <c r="E595" s="1" t="n">
        <v>46300</v>
      </c>
      <c r="F595" t="inlineStr">
        <is>
          <t>KRONOBERGS LÄN</t>
        </is>
      </c>
      <c r="G595" t="inlineStr">
        <is>
          <t>ÄLMHULT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11782-2022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44634</v>
      </c>
      <c r="E596" s="1" t="n">
        <v>46300</v>
      </c>
      <c r="F596" t="inlineStr">
        <is>
          <t>KRONOBERGS LÄN</t>
        </is>
      </c>
      <c r="G596" t="inlineStr">
        <is>
          <t>ÄLMHULT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4747-2022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44592</v>
      </c>
      <c r="E597" s="1" t="n">
        <v>46300</v>
      </c>
      <c r="F597" t="inlineStr">
        <is>
          <t>KRONOBERGS LÄN</t>
        </is>
      </c>
      <c r="G597" t="inlineStr">
        <is>
          <t>ÄLMHULT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31872-2022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44777</v>
      </c>
      <c r="E598" s="1" t="n">
        <v>46300</v>
      </c>
      <c r="F598" t="inlineStr">
        <is>
          <t>KRONOBERGS LÄN</t>
        </is>
      </c>
      <c r="G598" t="inlineStr">
        <is>
          <t>ÄLMHULT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44942</v>
      </c>
      <c r="E599" s="1" t="n">
        <v>46300</v>
      </c>
      <c r="F599" t="inlineStr">
        <is>
          <t>KRONOBERGS LÄN</t>
        </is>
      </c>
      <c r="G599" t="inlineStr">
        <is>
          <t>ÄLMHULT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46300</v>
      </c>
      <c r="F600" t="inlineStr">
        <is>
          <t>KRONOBERGS LÄN</t>
        </is>
      </c>
      <c r="G600" t="inlineStr">
        <is>
          <t>ÄLMHULT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63115-2023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45273</v>
      </c>
      <c r="E601" s="1" t="n">
        <v>46300</v>
      </c>
      <c r="F601" t="inlineStr">
        <is>
          <t>KRONOBERGS LÄN</t>
        </is>
      </c>
      <c r="G601" t="inlineStr">
        <is>
          <t>ÄLMHULT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45497</v>
      </c>
      <c r="E602" s="1" t="n">
        <v>46300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50540-2023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46300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44621</v>
      </c>
      <c r="E604" s="1" t="n">
        <v>46300</v>
      </c>
      <c r="F604" t="inlineStr">
        <is>
          <t>KRONOBERGS LÄN</t>
        </is>
      </c>
      <c r="G604" t="inlineStr">
        <is>
          <t>ÄLMHULT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62172-2022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44922</v>
      </c>
      <c r="E605" s="1" t="n">
        <v>46300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45169</v>
      </c>
      <c r="E606" s="1" t="n">
        <v>46300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49112-2022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44860</v>
      </c>
      <c r="E607" s="1" t="n">
        <v>46300</v>
      </c>
      <c r="F607" t="inlineStr">
        <is>
          <t>KRONOBERGS LÄN</t>
        </is>
      </c>
      <c r="G607" t="inlineStr">
        <is>
          <t>ÄLMHULT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45154</v>
      </c>
      <c r="E608" s="1" t="n">
        <v>46300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12112-2022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44636</v>
      </c>
      <c r="E609" s="1" t="n">
        <v>46300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68552-2021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44529</v>
      </c>
      <c r="E610" s="1" t="n">
        <v>46300</v>
      </c>
      <c r="F610" t="inlineStr">
        <is>
          <t>KRONOBERGS LÄN</t>
        </is>
      </c>
      <c r="G610" t="inlineStr">
        <is>
          <t>ÄLMHULT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63569-2021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44508</v>
      </c>
      <c r="E611" s="1" t="n">
        <v>46300</v>
      </c>
      <c r="F611" t="inlineStr">
        <is>
          <t>KRONOBERGS LÄN</t>
        </is>
      </c>
      <c r="G611" t="inlineStr">
        <is>
          <t>ÄLMHULT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44858</v>
      </c>
      <c r="E612" s="1" t="n">
        <v>46300</v>
      </c>
      <c r="F612" t="inlineStr">
        <is>
          <t>KRONOBERGS LÄN</t>
        </is>
      </c>
      <c r="G612" t="inlineStr">
        <is>
          <t>ÄLMHULT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46300</v>
      </c>
      <c r="F613" t="inlineStr">
        <is>
          <t>KRONOBERGS LÄN</t>
        </is>
      </c>
      <c r="G613" t="inlineStr">
        <is>
          <t>ÄLMHULT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45663</v>
      </c>
      <c r="E614" s="1" t="n">
        <v>46300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46300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45781</v>
      </c>
      <c r="E616" s="1" t="n">
        <v>46300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46300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46300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46300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46300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46300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7500-2021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44474</v>
      </c>
      <c r="E622" s="1" t="n">
        <v>46300</v>
      </c>
      <c r="F622" t="inlineStr">
        <is>
          <t>KRONOBERGS LÄN</t>
        </is>
      </c>
      <c r="G622" t="inlineStr">
        <is>
          <t>ÄLMHULT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46300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46300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46300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46300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46300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46300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46300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46300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46300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46300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46300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46300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46300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46300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46300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2026-10-05T01:56:29Z</dcterms:created>
  <dcterms:modified xmlns:dcterms="http://purl.org/dc/terms/" xmlns:xsi="http://www.w3.org/2001/XMLSchema-instance" xsi:type="dcterms:W3CDTF">2026-10-05T01:56:30Z</dcterms:modified>
</cp:coreProperties>
</file>