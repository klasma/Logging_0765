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46225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46225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46225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25207-2026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46171</v>
      </c>
      <c r="E12" s="1" t="n">
        <v>46225</v>
      </c>
      <c r="F12" t="inlineStr">
        <is>
          <t>KRONOBERGS LÄN</t>
        </is>
      </c>
      <c r="G12" t="inlineStr">
        <is>
          <t>ÄLMHULT</t>
        </is>
      </c>
      <c r="I12" t="n">
        <v>15.7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Havstulpanlav
Klippfrullania</t>
        </is>
      </c>
      <c r="W12">
        <f>HYPERLINK("https://klasma.github.io/Logging_0765/artfynd/A 25207-2026 artfynd.xlsx", "A 25207-2026")</f>
        <v/>
      </c>
      <c r="X12">
        <f>HYPERLINK("https://klasma.github.io/Logging_0765/kartor/A 25207-2026 karta.png", "A 25207-2026")</f>
        <v/>
      </c>
      <c r="Y12">
        <f>HYPERLINK("https://klasma.github.io/Logging_0765/kartor_geotiff/A 25207-2026 georefererad karta.tif", "A 25207-2026")</f>
        <v/>
      </c>
      <c r="AA12">
        <f>HYPERLINK("https://klasma.github.io/Logging_0765/klagomål/A 25207-2026 FSC-klagomål.docx", "A 25207-2026")</f>
        <v/>
      </c>
      <c r="AB12">
        <f>HYPERLINK("https://klasma.github.io/Logging_0765/klagomålsmail/A 25207-2026 FSC-klagomål mail.docx", "A 25207-2026")</f>
        <v/>
      </c>
      <c r="AC12">
        <f>HYPERLINK("https://klasma.github.io/Logging_0765/tillsyn/A 25207-2026 tillsynsbegäran.docx", "A 25207-2026")</f>
        <v/>
      </c>
      <c r="AD12">
        <f>HYPERLINK("https://klasma.github.io/Logging_0765/tillsynsmail/A 25207-2026 tillsynsbegäran mail.docx", "A 25207-2026")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46225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46225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46225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46225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46225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46225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46225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46225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46225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46225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46225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46225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46225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46225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46225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46225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58048-2024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46225</v>
      </c>
      <c r="F29" t="inlineStr">
        <is>
          <t>KRONOBERGS LÄN</t>
        </is>
      </c>
      <c r="G29" t="inlineStr">
        <is>
          <t>ÄLMHULT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Solvända</t>
        </is>
      </c>
      <c r="W29">
        <f>HYPERLINK("https://klasma.github.io/Logging_0765/artfynd/A 58048-2024 artfynd.xlsx", "A 58048-2024")</f>
        <v/>
      </c>
      <c r="X29">
        <f>HYPERLINK("https://klasma.github.io/Logging_0765/kartor/A 58048-2024 karta.png", "A 58048-2024")</f>
        <v/>
      </c>
      <c r="Y29">
        <f>HYPERLINK("https://klasma.github.io/Logging_0765/kartor_geotiff/A 58048-2024 georefererad karta.tif", "A 58048-2024")</f>
        <v/>
      </c>
      <c r="AA29">
        <f>HYPERLINK("https://klasma.github.io/Logging_0765/klagomål/A 58048-2024 FSC-klagomål.docx", "A 58048-2024")</f>
        <v/>
      </c>
      <c r="AB29">
        <f>HYPERLINK("https://klasma.github.io/Logging_0765/klagomålsmail/A 58048-2024 FSC-klagomål mail.docx", "A 58048-2024")</f>
        <v/>
      </c>
      <c r="AC29">
        <f>HYPERLINK("https://klasma.github.io/Logging_0765/tillsyn/A 58048-2024 tillsynsbegäran.docx", "A 58048-2024")</f>
        <v/>
      </c>
      <c r="AD29">
        <f>HYPERLINK("https://klasma.github.io/Logging_0765/tillsynsmail/A 58048-2024 tillsynsbegäran mail.docx", "A 58048-2024")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46225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46225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10199-2025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46225</v>
      </c>
      <c r="F32" t="inlineStr">
        <is>
          <t>KRONOBERGS LÄN</t>
        </is>
      </c>
      <c r="G32" t="inlineStr">
        <is>
          <t>ÄLMHULT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HYPERLINK("https://klasma.github.io/Logging_0765/artfynd/A 10199-2025 artfynd.xlsx", "A 10199-2025")</f>
        <v/>
      </c>
      <c r="X32">
        <f>HYPERLINK("https://klasma.github.io/Logging_0765/kartor/A 10199-2025 karta.png", "A 10199-2025")</f>
        <v/>
      </c>
      <c r="Y32">
        <f>HYPERLINK("https://klasma.github.io/Logging_0765/kartor_geotiff/A 10199-2025 georefererad karta.tif", "A 10199-2025")</f>
        <v/>
      </c>
      <c r="AA32">
        <f>HYPERLINK("https://klasma.github.io/Logging_0765/klagomål/A 10199-2025 FSC-klagomål.docx", "A 10199-2025")</f>
        <v/>
      </c>
      <c r="AB32">
        <f>HYPERLINK("https://klasma.github.io/Logging_0765/klagomålsmail/A 10199-2025 FSC-klagomål mail.docx", "A 10199-2025")</f>
        <v/>
      </c>
      <c r="AC32">
        <f>HYPERLINK("https://klasma.github.io/Logging_0765/tillsyn/A 10199-2025 tillsynsbegäran.docx", "A 10199-2025")</f>
        <v/>
      </c>
      <c r="AD32">
        <f>HYPERLINK("https://klasma.github.io/Logging_0765/tillsynsmail/A 10199-2025 tillsynsbegäran mail.docx", "A 10199-2025")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46225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46225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46225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46225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46225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46225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46225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46225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46225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46225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46225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46225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46225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46225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46225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46225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46225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46225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46225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46225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46225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46225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46225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46225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46225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46225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46225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46225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46225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46225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46225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46225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46225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46225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46225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46225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46225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46225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37773-2021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44400</v>
      </c>
      <c r="E72" s="1" t="n">
        <v>46225</v>
      </c>
      <c r="F72" t="inlineStr">
        <is>
          <t>KRONOBERGS LÄN</t>
        </is>
      </c>
      <c r="G72" t="inlineStr">
        <is>
          <t>ÄLMHULT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46225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46225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46225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44453</v>
      </c>
      <c r="E76" s="1" t="n">
        <v>46225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46225</v>
      </c>
      <c r="F77" t="inlineStr">
        <is>
          <t>KRONOBERGS LÄN</t>
        </is>
      </c>
      <c r="G77" t="inlineStr">
        <is>
          <t>ÄLMHULT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44512</v>
      </c>
      <c r="E78" s="1" t="n">
        <v>46225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46225</v>
      </c>
      <c r="F79" t="inlineStr">
        <is>
          <t>KRONOBERGS LÄN</t>
        </is>
      </c>
      <c r="G79" t="inlineStr">
        <is>
          <t>ÄLMHULT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46225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46225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46225</v>
      </c>
      <c r="F82" t="inlineStr">
        <is>
          <t>KRONOBERGS LÄN</t>
        </is>
      </c>
      <c r="G82" t="inlineStr">
        <is>
          <t>ÄLMHULT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46225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46225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46225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46225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44509</v>
      </c>
      <c r="E87" s="1" t="n">
        <v>46225</v>
      </c>
      <c r="F87" t="inlineStr">
        <is>
          <t>KRONOBERGS LÄN</t>
        </is>
      </c>
      <c r="G87" t="inlineStr">
        <is>
          <t>ÄLMHULT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46225</v>
      </c>
      <c r="F88" t="inlineStr">
        <is>
          <t>KRONOBERGS LÄN</t>
        </is>
      </c>
      <c r="G88" t="inlineStr">
        <is>
          <t>ÄLMHULT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44427</v>
      </c>
      <c r="E89" s="1" t="n">
        <v>46225</v>
      </c>
      <c r="F89" t="inlineStr">
        <is>
          <t>KRONOBERGS LÄN</t>
        </is>
      </c>
      <c r="G89" t="inlineStr">
        <is>
          <t>ÄLMHULT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46225</v>
      </c>
      <c r="F90" t="inlineStr">
        <is>
          <t>KRONOBERGS LÄN</t>
        </is>
      </c>
      <c r="G90" t="inlineStr">
        <is>
          <t>ÄLMHULT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46225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46225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44551</v>
      </c>
      <c r="E93" s="1" t="n">
        <v>46225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46225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46225</v>
      </c>
      <c r="F95" t="inlineStr">
        <is>
          <t>KRONOBERGS LÄN</t>
        </is>
      </c>
      <c r="G95" t="inlineStr">
        <is>
          <t>ÄLMHULT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46225</v>
      </c>
      <c r="F96" t="inlineStr">
        <is>
          <t>KRONOBERGS LÄN</t>
        </is>
      </c>
      <c r="G96" t="inlineStr">
        <is>
          <t>ÄLMHULT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46225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67506-2021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46225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46225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44690</v>
      </c>
      <c r="E100" s="1" t="n">
        <v>46225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46225</v>
      </c>
      <c r="F101" t="inlineStr">
        <is>
          <t>KRONOBERGS LÄN</t>
        </is>
      </c>
      <c r="G101" t="inlineStr">
        <is>
          <t>ÄLMHULT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46225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46225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46225</v>
      </c>
      <c r="F104" t="inlineStr">
        <is>
          <t>KRONOBERGS LÄN</t>
        </is>
      </c>
      <c r="G104" t="inlineStr">
        <is>
          <t>ÄLMHULT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46225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67941-2021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46225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46225</v>
      </c>
      <c r="F107" t="inlineStr">
        <is>
          <t>KRONOBERGS LÄN</t>
        </is>
      </c>
      <c r="G107" t="inlineStr">
        <is>
          <t>ÄLMHULT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46225</v>
      </c>
      <c r="F108" t="inlineStr">
        <is>
          <t>KRONOBERGS LÄN</t>
        </is>
      </c>
      <c r="G108" t="inlineStr">
        <is>
          <t>ÄLMHULT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44434</v>
      </c>
      <c r="E109" s="1" t="n">
        <v>46225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46225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46225</v>
      </c>
      <c r="F111" t="inlineStr">
        <is>
          <t>KRONOBERGS LÄN</t>
        </is>
      </c>
      <c r="G111" t="inlineStr">
        <is>
          <t>ÄLMHULT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44510</v>
      </c>
      <c r="E112" s="1" t="n">
        <v>46225</v>
      </c>
      <c r="F112" t="inlineStr">
        <is>
          <t>KRONOBERGS LÄN</t>
        </is>
      </c>
      <c r="G112" t="inlineStr">
        <is>
          <t>ÄLMHULT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46225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46225</v>
      </c>
      <c r="F114" t="inlineStr">
        <is>
          <t>KRONOBERGS LÄN</t>
        </is>
      </c>
      <c r="G114" t="inlineStr">
        <is>
          <t>ÄLMHULT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44643</v>
      </c>
      <c r="E115" s="1" t="n">
        <v>46225</v>
      </c>
      <c r="F115" t="inlineStr">
        <is>
          <t>KRONOBERGS LÄN</t>
        </is>
      </c>
      <c r="G115" t="inlineStr">
        <is>
          <t>ÄLMHULT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44657</v>
      </c>
      <c r="E116" s="1" t="n">
        <v>46225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46225</v>
      </c>
      <c r="F117" t="inlineStr">
        <is>
          <t>KRONOBERGS LÄN</t>
        </is>
      </c>
      <c r="G117" t="inlineStr">
        <is>
          <t>ÄLMHULT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46225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46225</v>
      </c>
      <c r="F119" t="inlineStr">
        <is>
          <t>KRONOBERGS LÄN</t>
        </is>
      </c>
      <c r="G119" t="inlineStr">
        <is>
          <t>ÄLMHULT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46225</v>
      </c>
      <c r="F120" t="inlineStr">
        <is>
          <t>KRONOBERGS LÄN</t>
        </is>
      </c>
      <c r="G120" t="inlineStr">
        <is>
          <t>ÄLMHULT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44816</v>
      </c>
      <c r="E121" s="1" t="n">
        <v>46225</v>
      </c>
      <c r="F121" t="inlineStr">
        <is>
          <t>KRONOBERGS LÄN</t>
        </is>
      </c>
      <c r="G121" t="inlineStr">
        <is>
          <t>ÄLMHULT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46225</v>
      </c>
      <c r="F122" t="inlineStr">
        <is>
          <t>KRONOBERGS LÄN</t>
        </is>
      </c>
      <c r="G122" t="inlineStr">
        <is>
          <t>ÄLMHULT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46225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46225</v>
      </c>
      <c r="F124" t="inlineStr">
        <is>
          <t>KRONOBERGS LÄN</t>
        </is>
      </c>
      <c r="G124" t="inlineStr">
        <is>
          <t>ÄLMHULT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45497</v>
      </c>
      <c r="E125" s="1" t="n">
        <v>46225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46225</v>
      </c>
      <c r="F126" t="inlineStr">
        <is>
          <t>KRONOBERGS LÄN</t>
        </is>
      </c>
      <c r="G126" t="inlineStr">
        <is>
          <t>ÄLMHULT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46225</v>
      </c>
      <c r="F127" t="inlineStr">
        <is>
          <t>KRONOBERGS LÄN</t>
        </is>
      </c>
      <c r="G127" t="inlineStr">
        <is>
          <t>ÄLMHULT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46225</v>
      </c>
      <c r="F128" t="inlineStr">
        <is>
          <t>KRONOBERGS LÄN</t>
        </is>
      </c>
      <c r="G128" t="inlineStr">
        <is>
          <t>ÄLMHULT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46225</v>
      </c>
      <c r="F129" t="inlineStr">
        <is>
          <t>KRONOBERGS LÄN</t>
        </is>
      </c>
      <c r="G129" t="inlineStr">
        <is>
          <t>ÄLMHULT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46225</v>
      </c>
      <c r="F130" t="inlineStr">
        <is>
          <t>KRONOBERGS LÄN</t>
        </is>
      </c>
      <c r="G130" t="inlineStr">
        <is>
          <t>ÄLMHULT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46225</v>
      </c>
      <c r="F131" t="inlineStr">
        <is>
          <t>KRONOBERGS LÄN</t>
        </is>
      </c>
      <c r="G131" t="inlineStr">
        <is>
          <t>ÄLMHULT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46225</v>
      </c>
      <c r="F132" t="inlineStr">
        <is>
          <t>KRONOBERGS LÄN</t>
        </is>
      </c>
      <c r="G132" t="inlineStr">
        <is>
          <t>ÄLMHULT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46225</v>
      </c>
      <c r="F133" t="inlineStr">
        <is>
          <t>KRONOBERGS LÄN</t>
        </is>
      </c>
      <c r="G133" t="inlineStr">
        <is>
          <t>ÄLMHULT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45078</v>
      </c>
      <c r="E134" s="1" t="n">
        <v>46225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46225</v>
      </c>
      <c r="F135" t="inlineStr">
        <is>
          <t>KRONOBERGS LÄN</t>
        </is>
      </c>
      <c r="G135" t="inlineStr">
        <is>
          <t>ÄLMHULT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46225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46225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46225</v>
      </c>
      <c r="F138" t="inlineStr">
        <is>
          <t>KRONOBERGS LÄN</t>
        </is>
      </c>
      <c r="G138" t="inlineStr">
        <is>
          <t>ÄLMHULT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45317</v>
      </c>
      <c r="E139" s="1" t="n">
        <v>46225</v>
      </c>
      <c r="F139" t="inlineStr">
        <is>
          <t>KRONOBERGS LÄN</t>
        </is>
      </c>
      <c r="G139" t="inlineStr">
        <is>
          <t>ÄLMHULT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46225</v>
      </c>
      <c r="F140" t="inlineStr">
        <is>
          <t>KRONOBERGS LÄN</t>
        </is>
      </c>
      <c r="G140" t="inlineStr">
        <is>
          <t>ÄLMHULT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45217</v>
      </c>
      <c r="E141" s="1" t="n">
        <v>46225</v>
      </c>
      <c r="F141" t="inlineStr">
        <is>
          <t>KRONOBERGS LÄN</t>
        </is>
      </c>
      <c r="G141" t="inlineStr">
        <is>
          <t>ÄLMHULT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46225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46225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45089</v>
      </c>
      <c r="E144" s="1" t="n">
        <v>46225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46225</v>
      </c>
      <c r="F145" t="inlineStr">
        <is>
          <t>KRONOBERGS LÄN</t>
        </is>
      </c>
      <c r="G145" t="inlineStr">
        <is>
          <t>ÄLMHULT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46225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46225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45309</v>
      </c>
      <c r="E148" s="1" t="n">
        <v>46225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46225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44962</v>
      </c>
      <c r="E150" s="1" t="n">
        <v>46225</v>
      </c>
      <c r="F150" t="inlineStr">
        <is>
          <t>KRONOBERGS LÄN</t>
        </is>
      </c>
      <c r="G150" t="inlineStr">
        <is>
          <t>ÄLMHULT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46225</v>
      </c>
      <c r="F151" t="inlineStr">
        <is>
          <t>KRONOBERGS LÄN</t>
        </is>
      </c>
      <c r="G151" t="inlineStr">
        <is>
          <t>ÄLMHULT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46225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46225</v>
      </c>
      <c r="F153" t="inlineStr">
        <is>
          <t>KRONOBERGS LÄN</t>
        </is>
      </c>
      <c r="G153" t="inlineStr">
        <is>
          <t>ÄLMHULT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46225</v>
      </c>
      <c r="F154" t="inlineStr">
        <is>
          <t>KRONOBERGS LÄN</t>
        </is>
      </c>
      <c r="G154" t="inlineStr">
        <is>
          <t>ÄLMHULT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46225</v>
      </c>
      <c r="F155" t="inlineStr">
        <is>
          <t>KRONOBERGS LÄN</t>
        </is>
      </c>
      <c r="G155" t="inlineStr">
        <is>
          <t>ÄLMHULT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46225</v>
      </c>
      <c r="F156" t="inlineStr">
        <is>
          <t>KRONOBERGS LÄN</t>
        </is>
      </c>
      <c r="G156" t="inlineStr">
        <is>
          <t>ÄLMHULT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72469-2021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44545</v>
      </c>
      <c r="E157" s="1" t="n">
        <v>46225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45140</v>
      </c>
      <c r="E158" s="1" t="n">
        <v>46225</v>
      </c>
      <c r="F158" t="inlineStr">
        <is>
          <t>KRONOBERGS LÄN</t>
        </is>
      </c>
      <c r="G158" t="inlineStr">
        <is>
          <t>ÄLMHULT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46225</v>
      </c>
      <c r="F159" t="inlineStr">
        <is>
          <t>KRONOBERGS LÄN</t>
        </is>
      </c>
      <c r="G159" t="inlineStr">
        <is>
          <t>ÄLMHULT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45169</v>
      </c>
      <c r="E160" s="1" t="n">
        <v>46225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46225</v>
      </c>
      <c r="F161" t="inlineStr">
        <is>
          <t>KRONOBERGS LÄN</t>
        </is>
      </c>
      <c r="G161" t="inlineStr">
        <is>
          <t>ÄLMHULT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46225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46225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46225</v>
      </c>
      <c r="F164" t="inlineStr">
        <is>
          <t>KRONOBERGS LÄN</t>
        </is>
      </c>
      <c r="G164" t="inlineStr">
        <is>
          <t>ÄLMHULT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46225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46225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46225</v>
      </c>
      <c r="F167" t="inlineStr">
        <is>
          <t>KRONOBERGS LÄN</t>
        </is>
      </c>
      <c r="G167" t="inlineStr">
        <is>
          <t>ÄLMHULT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44943</v>
      </c>
      <c r="E168" s="1" t="n">
        <v>46225</v>
      </c>
      <c r="F168" t="inlineStr">
        <is>
          <t>KRONOBERGS LÄN</t>
        </is>
      </c>
      <c r="G168" t="inlineStr">
        <is>
          <t>ÄLMHULT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46225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46225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46225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46225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46225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46225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46225</v>
      </c>
      <c r="F175" t="inlineStr">
        <is>
          <t>KRONOBERGS LÄN</t>
        </is>
      </c>
      <c r="G175" t="inlineStr">
        <is>
          <t>ÄLMHULT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46225</v>
      </c>
      <c r="F176" t="inlineStr">
        <is>
          <t>KRONOBERGS LÄN</t>
        </is>
      </c>
      <c r="G176" t="inlineStr">
        <is>
          <t>ÄLMHULT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46225</v>
      </c>
      <c r="F177" t="inlineStr">
        <is>
          <t>KRONOBERGS LÄN</t>
        </is>
      </c>
      <c r="G177" t="inlineStr">
        <is>
          <t>ÄLMHULT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46225</v>
      </c>
      <c r="F178" t="inlineStr">
        <is>
          <t>KRONOBERGS LÄN</t>
        </is>
      </c>
      <c r="G178" t="inlineStr">
        <is>
          <t>ÄLMHULT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46225</v>
      </c>
      <c r="F179" t="inlineStr">
        <is>
          <t>KRONOBERGS LÄN</t>
        </is>
      </c>
      <c r="G179" t="inlineStr">
        <is>
          <t>ÄLMHULT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46225</v>
      </c>
      <c r="F180" t="inlineStr">
        <is>
          <t>KRONOBERGS LÄN</t>
        </is>
      </c>
      <c r="G180" t="inlineStr">
        <is>
          <t>ÄLMHULT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46225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46225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46225</v>
      </c>
      <c r="F183" t="inlineStr">
        <is>
          <t>KRONOBERGS LÄN</t>
        </is>
      </c>
      <c r="G183" t="inlineStr">
        <is>
          <t>ÄLMHULT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46225</v>
      </c>
      <c r="F184" t="inlineStr">
        <is>
          <t>KRONOBERGS LÄN</t>
        </is>
      </c>
      <c r="G184" t="inlineStr">
        <is>
          <t>ÄLMHULT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46225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45612</v>
      </c>
      <c r="E186" s="1" t="n">
        <v>46225</v>
      </c>
      <c r="F186" t="inlineStr">
        <is>
          <t>KRONOBERGS LÄN</t>
        </is>
      </c>
      <c r="G186" t="inlineStr">
        <is>
          <t>ÄLMHULT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45181</v>
      </c>
      <c r="E187" s="1" t="n">
        <v>46225</v>
      </c>
      <c r="F187" t="inlineStr">
        <is>
          <t>KRONOBERGS LÄN</t>
        </is>
      </c>
      <c r="G187" t="inlineStr">
        <is>
          <t>ÄLMHULT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46225</v>
      </c>
      <c r="F188" t="inlineStr">
        <is>
          <t>KRONOBERGS LÄN</t>
        </is>
      </c>
      <c r="G188" t="inlineStr">
        <is>
          <t>ÄLMHULT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46225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46225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46225</v>
      </c>
      <c r="F191" t="inlineStr">
        <is>
          <t>KRONOBERGS LÄN</t>
        </is>
      </c>
      <c r="G191" t="inlineStr">
        <is>
          <t>ÄLMHULT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46225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46225</v>
      </c>
      <c r="F193" t="inlineStr">
        <is>
          <t>KRONOBERGS LÄN</t>
        </is>
      </c>
      <c r="G193" t="inlineStr">
        <is>
          <t>ÄLMHULT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45435</v>
      </c>
      <c r="E194" s="1" t="n">
        <v>46225</v>
      </c>
      <c r="F194" t="inlineStr">
        <is>
          <t>KRONOBERGS LÄN</t>
        </is>
      </c>
      <c r="G194" t="inlineStr">
        <is>
          <t>ÄLMHULT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45435</v>
      </c>
      <c r="E195" s="1" t="n">
        <v>46225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46225</v>
      </c>
      <c r="F196" t="inlineStr">
        <is>
          <t>KRONOBERGS LÄN</t>
        </is>
      </c>
      <c r="G196" t="inlineStr">
        <is>
          <t>ÄLMHULT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45335</v>
      </c>
      <c r="E197" s="1" t="n">
        <v>46225</v>
      </c>
      <c r="F197" t="inlineStr">
        <is>
          <t>KRONOBERGS LÄN</t>
        </is>
      </c>
      <c r="G197" t="inlineStr">
        <is>
          <t>ÄLMHULT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46225</v>
      </c>
      <c r="F198" t="inlineStr">
        <is>
          <t>KRONOBERGS LÄN</t>
        </is>
      </c>
      <c r="G198" t="inlineStr">
        <is>
          <t>ÄLMHULT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46225</v>
      </c>
      <c r="F199" t="inlineStr">
        <is>
          <t>KRONOBERGS LÄN</t>
        </is>
      </c>
      <c r="G199" t="inlineStr">
        <is>
          <t>ÄLMHULT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45334</v>
      </c>
      <c r="E200" s="1" t="n">
        <v>46225</v>
      </c>
      <c r="F200" t="inlineStr">
        <is>
          <t>KRONOBERGS LÄN</t>
        </is>
      </c>
      <c r="G200" t="inlineStr">
        <is>
          <t>ÄLMHULT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46225</v>
      </c>
      <c r="F201" t="inlineStr">
        <is>
          <t>KRONOBERGS LÄN</t>
        </is>
      </c>
      <c r="G201" t="inlineStr">
        <is>
          <t>ÄLMHULT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46225</v>
      </c>
      <c r="F202" t="inlineStr">
        <is>
          <t>KRONOBERGS LÄN</t>
        </is>
      </c>
      <c r="G202" t="inlineStr">
        <is>
          <t>ÄLMHULT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46225</v>
      </c>
      <c r="F203" t="inlineStr">
        <is>
          <t>KRONOBERGS LÄN</t>
        </is>
      </c>
      <c r="G203" t="inlineStr">
        <is>
          <t>ÄLMHULT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44853</v>
      </c>
      <c r="E204" s="1" t="n">
        <v>46225</v>
      </c>
      <c r="F204" t="inlineStr">
        <is>
          <t>KRONOBERGS LÄN</t>
        </is>
      </c>
      <c r="G204" t="inlineStr">
        <is>
          <t>ÄLMHULT</t>
        </is>
      </c>
      <c r="I204" t="n">
        <v>9.6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46225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46225</v>
      </c>
      <c r="F206" t="inlineStr">
        <is>
          <t>KRONOBERGS LÄN</t>
        </is>
      </c>
      <c r="G206" t="inlineStr">
        <is>
          <t>ÄLMHULT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46061</v>
      </c>
      <c r="E207" s="1" t="n">
        <v>46225</v>
      </c>
      <c r="F207" t="inlineStr">
        <is>
          <t>KRONOBERGS LÄN</t>
        </is>
      </c>
      <c r="G207" t="inlineStr">
        <is>
          <t>ÄLMHULT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44641</v>
      </c>
      <c r="E208" s="1" t="n">
        <v>46225</v>
      </c>
      <c r="F208" t="inlineStr">
        <is>
          <t>KRONOBERGS LÄN</t>
        </is>
      </c>
      <c r="G208" t="inlineStr">
        <is>
          <t>ÄLMHULT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8102-2026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46063</v>
      </c>
      <c r="E209" s="1" t="n">
        <v>46225</v>
      </c>
      <c r="F209" t="inlineStr">
        <is>
          <t>KRONOBERGS LÄN</t>
        </is>
      </c>
      <c r="G209" t="inlineStr">
        <is>
          <t>ÄLMHULT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46225</v>
      </c>
      <c r="F210" t="inlineStr">
        <is>
          <t>KRONOBERGS LÄN</t>
        </is>
      </c>
      <c r="G210" t="inlineStr">
        <is>
          <t>ÄLMHULT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46225</v>
      </c>
      <c r="F211" t="inlineStr">
        <is>
          <t>KRONOBERGS LÄN</t>
        </is>
      </c>
      <c r="G211" t="inlineStr">
        <is>
          <t>ÄLMHULT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8566-2026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46065</v>
      </c>
      <c r="E212" s="1" t="n">
        <v>46225</v>
      </c>
      <c r="F212" t="inlineStr">
        <is>
          <t>KRONOBERGS LÄN</t>
        </is>
      </c>
      <c r="G212" t="inlineStr">
        <is>
          <t>ÄLMHULT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46225</v>
      </c>
      <c r="F213" t="inlineStr">
        <is>
          <t>KRONOBERGS LÄN</t>
        </is>
      </c>
      <c r="G213" t="inlineStr">
        <is>
          <t>ÄLMHULT</t>
        </is>
      </c>
      <c r="I213" t="n">
        <v>14.1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46225</v>
      </c>
      <c r="F214" t="inlineStr">
        <is>
          <t>KRONOBERGS LÄN</t>
        </is>
      </c>
      <c r="G214" t="inlineStr">
        <is>
          <t>ÄLMHULT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46225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46225</v>
      </c>
      <c r="F216" t="inlineStr">
        <is>
          <t>KRONOBERGS LÄN</t>
        </is>
      </c>
      <c r="G216" t="inlineStr">
        <is>
          <t>ÄLMHULT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46225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45529</v>
      </c>
      <c r="E218" s="1" t="n">
        <v>46225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46225</v>
      </c>
      <c r="F219" t="inlineStr">
        <is>
          <t>KRONOBERGS LÄN</t>
        </is>
      </c>
      <c r="G219" t="inlineStr">
        <is>
          <t>ÄLMHULT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46225</v>
      </c>
      <c r="F220" t="inlineStr">
        <is>
          <t>KRONOBERGS LÄN</t>
        </is>
      </c>
      <c r="G220" t="inlineStr">
        <is>
          <t>ÄLMHULT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46225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45916</v>
      </c>
      <c r="E222" s="1" t="n">
        <v>46225</v>
      </c>
      <c r="F222" t="inlineStr">
        <is>
          <t>KRONOBERGS LÄN</t>
        </is>
      </c>
      <c r="G222" t="inlineStr">
        <is>
          <t>ÄLMHULT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46225</v>
      </c>
      <c r="F223" t="inlineStr">
        <is>
          <t>KRONOBERGS LÄN</t>
        </is>
      </c>
      <c r="G223" t="inlineStr">
        <is>
          <t>ÄLMHULT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46225</v>
      </c>
      <c r="F224" t="inlineStr">
        <is>
          <t>KRONOBERGS LÄN</t>
        </is>
      </c>
      <c r="G224" t="inlineStr">
        <is>
          <t>ÄLMHULT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46225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69444-2021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46225</v>
      </c>
      <c r="F226" t="inlineStr">
        <is>
          <t>KRONOBERGS LÄN</t>
        </is>
      </c>
      <c r="G226" t="inlineStr">
        <is>
          <t>ÄLMHULT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46225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46225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46225</v>
      </c>
      <c r="F229" t="inlineStr">
        <is>
          <t>KRONOBERGS LÄN</t>
        </is>
      </c>
      <c r="G229" t="inlineStr">
        <is>
          <t>ÄLMHULT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46225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30322-2025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45827</v>
      </c>
      <c r="E231" s="1" t="n">
        <v>46225</v>
      </c>
      <c r="F231" t="inlineStr">
        <is>
          <t>KRONOBERGS LÄN</t>
        </is>
      </c>
      <c r="G231" t="inlineStr">
        <is>
          <t>ÄLMHULT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11587-2024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45373</v>
      </c>
      <c r="E232" s="1" t="n">
        <v>46225</v>
      </c>
      <c r="F232" t="inlineStr">
        <is>
          <t>KRONOBERGS LÄN</t>
        </is>
      </c>
      <c r="G232" t="inlineStr">
        <is>
          <t>ÄLMHULT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46225</v>
      </c>
      <c r="F233" t="inlineStr">
        <is>
          <t>KRONOBERGS LÄN</t>
        </is>
      </c>
      <c r="G233" t="inlineStr">
        <is>
          <t>ÄLMHULT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46225</v>
      </c>
      <c r="F234" t="inlineStr">
        <is>
          <t>KRONOBERGS LÄN</t>
        </is>
      </c>
      <c r="G234" t="inlineStr">
        <is>
          <t>ÄLMHULT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45854</v>
      </c>
      <c r="E235" s="1" t="n">
        <v>46225</v>
      </c>
      <c r="F235" t="inlineStr">
        <is>
          <t>KRONOBERGS LÄN</t>
        </is>
      </c>
      <c r="G235" t="inlineStr">
        <is>
          <t>ÄLMHULT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46225</v>
      </c>
      <c r="F236" t="inlineStr">
        <is>
          <t>KRONOBERGS LÄN</t>
        </is>
      </c>
      <c r="G236" t="inlineStr">
        <is>
          <t>ÄLMHULT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46225</v>
      </c>
      <c r="F237" t="inlineStr">
        <is>
          <t>KRONOBERGS LÄN</t>
        </is>
      </c>
      <c r="G237" t="inlineStr">
        <is>
          <t>ÄLMHULT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46225</v>
      </c>
      <c r="F238" t="inlineStr">
        <is>
          <t>KRONOBERGS LÄN</t>
        </is>
      </c>
      <c r="G238" t="inlineStr">
        <is>
          <t>ÄLMHULT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46225</v>
      </c>
      <c r="F239" t="inlineStr">
        <is>
          <t>KRONOBERGS LÄN</t>
        </is>
      </c>
      <c r="G239" t="inlineStr">
        <is>
          <t>ÄLMHULT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46225</v>
      </c>
      <c r="F240" t="inlineStr">
        <is>
          <t>KRONOBERGS LÄN</t>
        </is>
      </c>
      <c r="G240" t="inlineStr">
        <is>
          <t>ÄLMHULT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46225</v>
      </c>
      <c r="F241" t="inlineStr">
        <is>
          <t>KRONOBERGS LÄN</t>
        </is>
      </c>
      <c r="G241" t="inlineStr">
        <is>
          <t>ÄLMHULT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46225</v>
      </c>
      <c r="F242" t="inlineStr">
        <is>
          <t>KRONOBERGS LÄN</t>
        </is>
      </c>
      <c r="G242" t="inlineStr">
        <is>
          <t>ÄLMHULT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46225</v>
      </c>
      <c r="F243" t="inlineStr">
        <is>
          <t>KRONOBERGS LÄN</t>
        </is>
      </c>
      <c r="G243" t="inlineStr">
        <is>
          <t>ÄLMHULT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46225</v>
      </c>
      <c r="F244" t="inlineStr">
        <is>
          <t>KRONOBERGS LÄN</t>
        </is>
      </c>
      <c r="G244" t="inlineStr">
        <is>
          <t>ÄLMHULT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46225</v>
      </c>
      <c r="F245" t="inlineStr">
        <is>
          <t>KRONOBERGS LÄN</t>
        </is>
      </c>
      <c r="G245" t="inlineStr">
        <is>
          <t>ÄLMHULT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60487-2022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46225</v>
      </c>
      <c r="F246" t="inlineStr">
        <is>
          <t>KRONOBERGS LÄN</t>
        </is>
      </c>
      <c r="G246" t="inlineStr">
        <is>
          <t>ÄLMHULT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45867</v>
      </c>
      <c r="E247" s="1" t="n">
        <v>46225</v>
      </c>
      <c r="F247" t="inlineStr">
        <is>
          <t>KRONOBERGS LÄN</t>
        </is>
      </c>
      <c r="G247" t="inlineStr">
        <is>
          <t>ÄLMHULT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46225</v>
      </c>
      <c r="F248" t="inlineStr">
        <is>
          <t>KRONOBERGS LÄN</t>
        </is>
      </c>
      <c r="G248" t="inlineStr">
        <is>
          <t>ÄLMHULT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46225</v>
      </c>
      <c r="F249" t="inlineStr">
        <is>
          <t>KRONOBERGS LÄN</t>
        </is>
      </c>
      <c r="G249" t="inlineStr">
        <is>
          <t>ÄLMHULT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46225</v>
      </c>
      <c r="F250" t="inlineStr">
        <is>
          <t>KRONOBERGS LÄN</t>
        </is>
      </c>
      <c r="G250" t="inlineStr">
        <is>
          <t>ÄLMHULT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46225</v>
      </c>
      <c r="F251" t="inlineStr">
        <is>
          <t>KRONOBERGS LÄN</t>
        </is>
      </c>
      <c r="G251" t="inlineStr">
        <is>
          <t>ÄLMHULT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46225</v>
      </c>
      <c r="F252" t="inlineStr">
        <is>
          <t>KRONOBERGS LÄN</t>
        </is>
      </c>
      <c r="G252" t="inlineStr">
        <is>
          <t>ÄLMHULT</t>
        </is>
      </c>
      <c r="I252" t="n">
        <v>29.1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45538</v>
      </c>
      <c r="E253" s="1" t="n">
        <v>46225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46225</v>
      </c>
      <c r="F254" t="inlineStr">
        <is>
          <t>KRONOBERGS LÄN</t>
        </is>
      </c>
      <c r="G254" t="inlineStr">
        <is>
          <t>ÄLMHULT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28026-2024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45476</v>
      </c>
      <c r="E255" s="1" t="n">
        <v>46225</v>
      </c>
      <c r="F255" t="inlineStr">
        <is>
          <t>KRONOBERGS LÄN</t>
        </is>
      </c>
      <c r="G255" t="inlineStr">
        <is>
          <t>ÄLMHULT</t>
        </is>
      </c>
      <c r="I255" t="n">
        <v>11.8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46225</v>
      </c>
      <c r="F256" t="inlineStr">
        <is>
          <t>KRONOBERGS LÄN</t>
        </is>
      </c>
      <c r="G256" t="inlineStr">
        <is>
          <t>ÄLMHULT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46225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46225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46225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15.3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46225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46225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46225</v>
      </c>
      <c r="F262" t="inlineStr">
        <is>
          <t>KRONOBERGS LÄN</t>
        </is>
      </c>
      <c r="G262" t="inlineStr">
        <is>
          <t>ÄLMHULT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46225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46225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46225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46225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46225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15.6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46225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46225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64999-2023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45286</v>
      </c>
      <c r="E270" s="1" t="n">
        <v>46225</v>
      </c>
      <c r="F270" t="inlineStr">
        <is>
          <t>KRONOBERGS LÄN</t>
        </is>
      </c>
      <c r="G270" t="inlineStr">
        <is>
          <t>ÄLMHULT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46225</v>
      </c>
      <c r="F271" t="inlineStr">
        <is>
          <t>KRONOBERGS LÄN</t>
        </is>
      </c>
      <c r="G271" t="inlineStr">
        <is>
          <t>ÄLMHULT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46225</v>
      </c>
      <c r="F272" t="inlineStr">
        <is>
          <t>KRONOBERGS LÄN</t>
        </is>
      </c>
      <c r="G272" t="inlineStr">
        <is>
          <t>ÄLMHULT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44503</v>
      </c>
      <c r="E273" s="1" t="n">
        <v>46225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44859</v>
      </c>
      <c r="E274" s="1" t="n">
        <v>46225</v>
      </c>
      <c r="F274" t="inlineStr">
        <is>
          <t>KRONOBERGS LÄN</t>
        </is>
      </c>
      <c r="G274" t="inlineStr">
        <is>
          <t>ÄLMHULT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46225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46225</v>
      </c>
      <c r="F276" t="inlineStr">
        <is>
          <t>KRONOBERGS LÄN</t>
        </is>
      </c>
      <c r="G276" t="inlineStr">
        <is>
          <t>ÄLMHULT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46225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46225</v>
      </c>
      <c r="F278" t="inlineStr">
        <is>
          <t>KRONOBERGS LÄN</t>
        </is>
      </c>
      <c r="G278" t="inlineStr">
        <is>
          <t>ÄLMHULT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60876-2022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44914</v>
      </c>
      <c r="E279" s="1" t="n">
        <v>46225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45574</v>
      </c>
      <c r="E280" s="1" t="n">
        <v>46225</v>
      </c>
      <c r="F280" t="inlineStr">
        <is>
          <t>KRONOBERGS LÄN</t>
        </is>
      </c>
      <c r="G280" t="inlineStr">
        <is>
          <t>ÄLMHULT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46225</v>
      </c>
      <c r="F281" t="inlineStr">
        <is>
          <t>KRONOBERGS LÄN</t>
        </is>
      </c>
      <c r="G281" t="inlineStr">
        <is>
          <t>ÄLMHULT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45559</v>
      </c>
      <c r="E282" s="1" t="n">
        <v>46225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46225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46225</v>
      </c>
      <c r="F284" t="inlineStr">
        <is>
          <t>KRONOBERGS LÄN</t>
        </is>
      </c>
      <c r="G284" t="inlineStr">
        <is>
          <t>ÄLMHULT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46225</v>
      </c>
      <c r="F285" t="inlineStr">
        <is>
          <t>KRONOBERGS LÄN</t>
        </is>
      </c>
      <c r="G285" t="inlineStr">
        <is>
          <t>ÄLMHULT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46225</v>
      </c>
      <c r="F286" t="inlineStr">
        <is>
          <t>KRONOBERGS LÄN</t>
        </is>
      </c>
      <c r="G286" t="inlineStr">
        <is>
          <t>ÄLMHULT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46225</v>
      </c>
      <c r="F287" t="inlineStr">
        <is>
          <t>KRONOBERGS LÄN</t>
        </is>
      </c>
      <c r="G287" t="inlineStr">
        <is>
          <t>ÄLMHULT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46225</v>
      </c>
      <c r="F288" t="inlineStr">
        <is>
          <t>KRONOBERGS LÄN</t>
        </is>
      </c>
      <c r="G288" t="inlineStr">
        <is>
          <t>ÄLMHULT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46128</v>
      </c>
      <c r="E289" s="1" t="n">
        <v>46225</v>
      </c>
      <c r="F289" t="inlineStr">
        <is>
          <t>KRONOBERGS LÄN</t>
        </is>
      </c>
      <c r="G289" t="inlineStr">
        <is>
          <t>ÄLMHULT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45969</v>
      </c>
      <c r="E290" s="1" t="n">
        <v>46225</v>
      </c>
      <c r="F290" t="inlineStr">
        <is>
          <t>KRONOBERGS LÄN</t>
        </is>
      </c>
      <c r="G290" t="inlineStr">
        <is>
          <t>ÄLMHULT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45969</v>
      </c>
      <c r="E291" s="1" t="n">
        <v>46225</v>
      </c>
      <c r="F291" t="inlineStr">
        <is>
          <t>KRONOBERGS LÄN</t>
        </is>
      </c>
      <c r="G291" t="inlineStr">
        <is>
          <t>ÄLMHULT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46225</v>
      </c>
      <c r="F292" t="inlineStr">
        <is>
          <t>KRONOBERGS LÄN</t>
        </is>
      </c>
      <c r="G292" t="inlineStr">
        <is>
          <t>ÄLMHULT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46225</v>
      </c>
      <c r="F293" t="inlineStr">
        <is>
          <t>KRONOBERGS LÄN</t>
        </is>
      </c>
      <c r="G293" t="inlineStr">
        <is>
          <t>ÄLMHULT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46225</v>
      </c>
      <c r="F294" t="inlineStr">
        <is>
          <t>KRONOBERGS LÄN</t>
        </is>
      </c>
      <c r="G294" t="inlineStr">
        <is>
          <t>ÄLMHULT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45722</v>
      </c>
      <c r="E295" s="1" t="n">
        <v>46225</v>
      </c>
      <c r="F295" t="inlineStr">
        <is>
          <t>KRONOBERGS LÄN</t>
        </is>
      </c>
      <c r="G295" t="inlineStr">
        <is>
          <t>ÄLMHULT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46225</v>
      </c>
      <c r="F296" t="inlineStr">
        <is>
          <t>KRONOBERGS LÄN</t>
        </is>
      </c>
      <c r="G296" t="inlineStr">
        <is>
          <t>ÄLMHULT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46225</v>
      </c>
      <c r="F297" t="inlineStr">
        <is>
          <t>KRONOBERGS LÄN</t>
        </is>
      </c>
      <c r="G297" t="inlineStr">
        <is>
          <t>ÄLMHULT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45531</v>
      </c>
      <c r="E298" s="1" t="n">
        <v>46225</v>
      </c>
      <c r="F298" t="inlineStr">
        <is>
          <t>KRONOBERGS LÄN</t>
        </is>
      </c>
      <c r="G298" t="inlineStr">
        <is>
          <t>ÄLMHULT</t>
        </is>
      </c>
      <c r="H298" t="inlineStr">
        <is>
          <t>Kyrkan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46225</v>
      </c>
      <c r="F299" t="inlineStr">
        <is>
          <t>KRONOBERGS LÄN</t>
        </is>
      </c>
      <c r="G299" t="inlineStr">
        <is>
          <t>ÄLMHULT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46225</v>
      </c>
      <c r="F300" t="inlineStr">
        <is>
          <t>KRONOBERGS LÄN</t>
        </is>
      </c>
      <c r="G300" t="inlineStr">
        <is>
          <t>ÄLMHULT</t>
        </is>
      </c>
      <c r="H300" t="inlineStr">
        <is>
          <t>Kyrkan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46225</v>
      </c>
      <c r="F301" t="inlineStr">
        <is>
          <t>KRONOBERGS LÄN</t>
        </is>
      </c>
      <c r="G301" t="inlineStr">
        <is>
          <t>ÄLMHULT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37803-2024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45543</v>
      </c>
      <c r="E302" s="1" t="n">
        <v>46225</v>
      </c>
      <c r="F302" t="inlineStr">
        <is>
          <t>KRONOBERGS LÄN</t>
        </is>
      </c>
      <c r="G302" t="inlineStr">
        <is>
          <t>ÄLMHULT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46225</v>
      </c>
      <c r="F303" t="inlineStr">
        <is>
          <t>KRONOBERGS LÄN</t>
        </is>
      </c>
      <c r="G303" t="inlineStr">
        <is>
          <t>ÄLMHULT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46225</v>
      </c>
      <c r="F304" t="inlineStr">
        <is>
          <t>KRONOBERGS LÄN</t>
        </is>
      </c>
      <c r="G304" t="inlineStr">
        <is>
          <t>ÄLMHULT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46225</v>
      </c>
      <c r="F305" t="inlineStr">
        <is>
          <t>KRONOBERGS LÄN</t>
        </is>
      </c>
      <c r="G305" t="inlineStr">
        <is>
          <t>ÄLMHULT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45513</v>
      </c>
      <c r="E306" s="1" t="n">
        <v>46225</v>
      </c>
      <c r="F306" t="inlineStr">
        <is>
          <t>KRONOBERGS LÄN</t>
        </is>
      </c>
      <c r="G306" t="inlineStr">
        <is>
          <t>ÄLMHULT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46225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59803-2025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45992</v>
      </c>
      <c r="E308" s="1" t="n">
        <v>46225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59780-2025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45992</v>
      </c>
      <c r="E309" s="1" t="n">
        <v>46225</v>
      </c>
      <c r="F309" t="inlineStr">
        <is>
          <t>KRONOBERGS LÄN</t>
        </is>
      </c>
      <c r="G309" t="inlineStr">
        <is>
          <t>ÄLMHULT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59771-2025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45992</v>
      </c>
      <c r="E310" s="1" t="n">
        <v>46225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45537</v>
      </c>
      <c r="E311" s="1" t="n">
        <v>46225</v>
      </c>
      <c r="F311" t="inlineStr">
        <is>
          <t>KRONOBERGS LÄN</t>
        </is>
      </c>
      <c r="G311" t="inlineStr">
        <is>
          <t>ÄLMHULT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45531</v>
      </c>
      <c r="E312" s="1" t="n">
        <v>46225</v>
      </c>
      <c r="F312" t="inlineStr">
        <is>
          <t>KRONOBERGS LÄN</t>
        </is>
      </c>
      <c r="G312" t="inlineStr">
        <is>
          <t>ÄLMHULT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46225</v>
      </c>
      <c r="F313" t="inlineStr">
        <is>
          <t>KRONOBERGS LÄN</t>
        </is>
      </c>
      <c r="G313" t="inlineStr">
        <is>
          <t>ÄLMHULT</t>
        </is>
      </c>
      <c r="H313" t="inlineStr">
        <is>
          <t>Kommuner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45328</v>
      </c>
      <c r="E314" s="1" t="n">
        <v>46225</v>
      </c>
      <c r="F314" t="inlineStr">
        <is>
          <t>KRONOBERGS LÄN</t>
        </is>
      </c>
      <c r="G314" t="inlineStr">
        <is>
          <t>ÄLMHULT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46225</v>
      </c>
      <c r="F315" t="inlineStr">
        <is>
          <t>KRONOBERGS LÄN</t>
        </is>
      </c>
      <c r="G315" t="inlineStr">
        <is>
          <t>ÄLMHULT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45554</v>
      </c>
      <c r="E316" s="1" t="n">
        <v>46225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46225</v>
      </c>
      <c r="F317" t="inlineStr">
        <is>
          <t>KRONOBERGS LÄN</t>
        </is>
      </c>
      <c r="G317" t="inlineStr">
        <is>
          <t>ÄLMHULT</t>
        </is>
      </c>
      <c r="H317" t="inlineStr">
        <is>
          <t>Kommuner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46225</v>
      </c>
      <c r="F318" t="inlineStr">
        <is>
          <t>KRONOBERGS LÄN</t>
        </is>
      </c>
      <c r="G318" t="inlineStr">
        <is>
          <t>ÄLMHULT</t>
        </is>
      </c>
      <c r="H318" t="inlineStr">
        <is>
          <t>Kommuner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45564</v>
      </c>
      <c r="E319" s="1" t="n">
        <v>46225</v>
      </c>
      <c r="F319" t="inlineStr">
        <is>
          <t>KRONOBERGS LÄN</t>
        </is>
      </c>
      <c r="G319" t="inlineStr">
        <is>
          <t>ÄLMHULT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46225</v>
      </c>
      <c r="F320" t="inlineStr">
        <is>
          <t>KRONOBERGS LÄN</t>
        </is>
      </c>
      <c r="G320" t="inlineStr">
        <is>
          <t>ÄLMHULT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46225</v>
      </c>
      <c r="F321" t="inlineStr">
        <is>
          <t>KRONOBERGS LÄN</t>
        </is>
      </c>
      <c r="G321" t="inlineStr">
        <is>
          <t>ÄLMHULT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46005</v>
      </c>
      <c r="E322" s="1" t="n">
        <v>46225</v>
      </c>
      <c r="F322" t="inlineStr">
        <is>
          <t>KRONOBERGS LÄN</t>
        </is>
      </c>
      <c r="G322" t="inlineStr">
        <is>
          <t>ÄLMHULT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57501-2024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45630</v>
      </c>
      <c r="E323" s="1" t="n">
        <v>46225</v>
      </c>
      <c r="F323" t="inlineStr">
        <is>
          <t>KRONOBERGS LÄN</t>
        </is>
      </c>
      <c r="G323" t="inlineStr">
        <is>
          <t>ÄLMHULT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11800-2023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44994</v>
      </c>
      <c r="E324" s="1" t="n">
        <v>46225</v>
      </c>
      <c r="F324" t="inlineStr">
        <is>
          <t>KRONOBERGS LÄN</t>
        </is>
      </c>
      <c r="G324" t="inlineStr">
        <is>
          <t>ÄLMHULT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27334-2025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45812</v>
      </c>
      <c r="E325" s="1" t="n">
        <v>46225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46225</v>
      </c>
      <c r="F326" t="inlineStr">
        <is>
          <t>KRONOBERGS LÄN</t>
        </is>
      </c>
      <c r="G326" t="inlineStr">
        <is>
          <t>ÄLMHULT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22415-2024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45446</v>
      </c>
      <c r="E327" s="1" t="n">
        <v>46225</v>
      </c>
      <c r="F327" t="inlineStr">
        <is>
          <t>KRONOBERGS LÄN</t>
        </is>
      </c>
      <c r="G327" t="inlineStr">
        <is>
          <t>ÄLMHULT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46225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46225</v>
      </c>
      <c r="F329" t="inlineStr">
        <is>
          <t>KRONOBERGS LÄN</t>
        </is>
      </c>
      <c r="G329" t="inlineStr">
        <is>
          <t>ÄLMHULT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46225</v>
      </c>
      <c r="F330" t="inlineStr">
        <is>
          <t>KRONOBERGS LÄN</t>
        </is>
      </c>
      <c r="G330" t="inlineStr">
        <is>
          <t>ÄLMHULT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45170</v>
      </c>
      <c r="E331" s="1" t="n">
        <v>46225</v>
      </c>
      <c r="F331" t="inlineStr">
        <is>
          <t>KRONOBERGS LÄN</t>
        </is>
      </c>
      <c r="G331" t="inlineStr">
        <is>
          <t>ÄLMHULT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46225</v>
      </c>
      <c r="F332" t="inlineStr">
        <is>
          <t>KRONOBERGS LÄN</t>
        </is>
      </c>
      <c r="G332" t="inlineStr">
        <is>
          <t>ÄLMHULT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45588</v>
      </c>
      <c r="E333" s="1" t="n">
        <v>46225</v>
      </c>
      <c r="F333" t="inlineStr">
        <is>
          <t>KRONOBERGS LÄN</t>
        </is>
      </c>
      <c r="G333" t="inlineStr">
        <is>
          <t>ÄLMHULT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25319-2024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46225</v>
      </c>
      <c r="F334" t="inlineStr">
        <is>
          <t>KRONOBERGS LÄN</t>
        </is>
      </c>
      <c r="G334" t="inlineStr">
        <is>
          <t>ÄLMHULT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46225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46147</v>
      </c>
      <c r="E336" s="1" t="n">
        <v>46225</v>
      </c>
      <c r="F336" t="inlineStr">
        <is>
          <t>KRONOBERGS LÄN</t>
        </is>
      </c>
      <c r="G336" t="inlineStr">
        <is>
          <t>ÄLMHULT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45578</v>
      </c>
      <c r="E337" s="1" t="n">
        <v>46225</v>
      </c>
      <c r="F337" t="inlineStr">
        <is>
          <t>KRONOBERGS LÄN</t>
        </is>
      </c>
      <c r="G337" t="inlineStr">
        <is>
          <t>ÄLMHULT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45308</v>
      </c>
      <c r="E338" s="1" t="n">
        <v>46225</v>
      </c>
      <c r="F338" t="inlineStr">
        <is>
          <t>KRONOBERGS LÄN</t>
        </is>
      </c>
      <c r="G338" t="inlineStr">
        <is>
          <t>ÄLMHULT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45372</v>
      </c>
      <c r="E339" s="1" t="n">
        <v>46225</v>
      </c>
      <c r="F339" t="inlineStr">
        <is>
          <t>KRONOBERGS LÄN</t>
        </is>
      </c>
      <c r="G339" t="inlineStr">
        <is>
          <t>ÄLMHULT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46225</v>
      </c>
      <c r="F340" t="inlineStr">
        <is>
          <t>KRONOBERGS LÄN</t>
        </is>
      </c>
      <c r="G340" t="inlineStr">
        <is>
          <t>ÄLMHULT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46225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46225</v>
      </c>
      <c r="F342" t="inlineStr">
        <is>
          <t>KRONOBERGS LÄN</t>
        </is>
      </c>
      <c r="G342" t="inlineStr">
        <is>
          <t>ÄLMHULT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45680</v>
      </c>
      <c r="E343" s="1" t="n">
        <v>46225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22335-2026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46225</v>
      </c>
      <c r="F344" t="inlineStr">
        <is>
          <t>KRONOBERGS LÄN</t>
        </is>
      </c>
      <c r="G344" t="inlineStr">
        <is>
          <t>ÄLMHULT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26602-2024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46225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45078</v>
      </c>
      <c r="E346" s="1" t="n">
        <v>46225</v>
      </c>
      <c r="F346" t="inlineStr">
        <is>
          <t>KRONOBERGS LÄN</t>
        </is>
      </c>
      <c r="G346" t="inlineStr">
        <is>
          <t>ÄLMHULT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46225</v>
      </c>
      <c r="F347" t="inlineStr">
        <is>
          <t>KRONOBERGS LÄN</t>
        </is>
      </c>
      <c r="G347" t="inlineStr">
        <is>
          <t>ÄLMHULT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46225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45715</v>
      </c>
      <c r="E349" s="1" t="n">
        <v>46225</v>
      </c>
      <c r="F349" t="inlineStr">
        <is>
          <t>KRONOBERGS LÄN</t>
        </is>
      </c>
      <c r="G349" t="inlineStr">
        <is>
          <t>ÄLMHULT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46225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46225</v>
      </c>
      <c r="F351" t="inlineStr">
        <is>
          <t>KRONOBERGS LÄN</t>
        </is>
      </c>
      <c r="G351" t="inlineStr">
        <is>
          <t>ÄLMHULT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19722-2023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45051</v>
      </c>
      <c r="E352" s="1" t="n">
        <v>46225</v>
      </c>
      <c r="F352" t="inlineStr">
        <is>
          <t>KRONOBERGS LÄN</t>
        </is>
      </c>
      <c r="G352" t="inlineStr">
        <is>
          <t>ÄLMHULT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46225</v>
      </c>
      <c r="F353" t="inlineStr">
        <is>
          <t>KRONOBERGS LÄN</t>
        </is>
      </c>
      <c r="G353" t="inlineStr">
        <is>
          <t>ÄLMHULT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46155</v>
      </c>
      <c r="E354" s="1" t="n">
        <v>46225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46225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46225</v>
      </c>
      <c r="F356" t="inlineStr">
        <is>
          <t>KRONOBERGS LÄN</t>
        </is>
      </c>
      <c r="G356" t="inlineStr">
        <is>
          <t>ÄLMHULT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44760</v>
      </c>
      <c r="E357" s="1" t="n">
        <v>46225</v>
      </c>
      <c r="F357" t="inlineStr">
        <is>
          <t>KRONOBERGS LÄN</t>
        </is>
      </c>
      <c r="G357" t="inlineStr">
        <is>
          <t>ÄLMHULT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46225</v>
      </c>
      <c r="F358" t="inlineStr">
        <is>
          <t>KRONOBERGS LÄN</t>
        </is>
      </c>
      <c r="G358" t="inlineStr">
        <is>
          <t>ÄLMHULT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46225</v>
      </c>
      <c r="F359" t="inlineStr">
        <is>
          <t>KRONOBERGS LÄN</t>
        </is>
      </c>
      <c r="G359" t="inlineStr">
        <is>
          <t>ÄLMHULT</t>
        </is>
      </c>
      <c r="H359" t="inlineStr">
        <is>
          <t>Kyrkan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68212-2021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44526</v>
      </c>
      <c r="E360" s="1" t="n">
        <v>46225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46225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37840-2021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44403</v>
      </c>
      <c r="E362" s="1" t="n">
        <v>46225</v>
      </c>
      <c r="F362" t="inlineStr">
        <is>
          <t>KRONOBERGS LÄN</t>
        </is>
      </c>
      <c r="G362" t="inlineStr">
        <is>
          <t>ÄLMHULT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46225</v>
      </c>
      <c r="F363" t="inlineStr">
        <is>
          <t>KRONOBERGS LÄN</t>
        </is>
      </c>
      <c r="G363" t="inlineStr">
        <is>
          <t>ÄLMHULT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45076</v>
      </c>
      <c r="E364" s="1" t="n">
        <v>46225</v>
      </c>
      <c r="F364" t="inlineStr">
        <is>
          <t>KRONOBERGS LÄN</t>
        </is>
      </c>
      <c r="G364" t="inlineStr">
        <is>
          <t>ÄLMHULT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46225</v>
      </c>
      <c r="F365" t="inlineStr">
        <is>
          <t>KRONOBERGS LÄN</t>
        </is>
      </c>
      <c r="G365" t="inlineStr">
        <is>
          <t>ÄLMHULT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44826</v>
      </c>
      <c r="E366" s="1" t="n">
        <v>46225</v>
      </c>
      <c r="F366" t="inlineStr">
        <is>
          <t>KRONOBERGS LÄN</t>
        </is>
      </c>
      <c r="G366" t="inlineStr">
        <is>
          <t>ÄLMHULT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46225</v>
      </c>
      <c r="F367" t="inlineStr">
        <is>
          <t>KRONOBERGS LÄN</t>
        </is>
      </c>
      <c r="G367" t="inlineStr">
        <is>
          <t>ÄLMHULT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21164-2023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45062</v>
      </c>
      <c r="E368" s="1" t="n">
        <v>46225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46225</v>
      </c>
      <c r="F369" t="inlineStr">
        <is>
          <t>KRONOBERGS LÄN</t>
        </is>
      </c>
      <c r="G369" t="inlineStr">
        <is>
          <t>ÄLMHULT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46225</v>
      </c>
      <c r="F370" t="inlineStr">
        <is>
          <t>KRONOBERGS LÄN</t>
        </is>
      </c>
      <c r="G370" t="inlineStr">
        <is>
          <t>ÄLMHULT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46225</v>
      </c>
      <c r="F371" t="inlineStr">
        <is>
          <t>KRONOBERGS LÄN</t>
        </is>
      </c>
      <c r="G371" t="inlineStr">
        <is>
          <t>ÄLMHULT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60621-2021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44496</v>
      </c>
      <c r="E372" s="1" t="n">
        <v>46225</v>
      </c>
      <c r="F372" t="inlineStr">
        <is>
          <t>KRONOBERGS LÄN</t>
        </is>
      </c>
      <c r="G372" t="inlineStr">
        <is>
          <t>ÄLMHULT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44568</v>
      </c>
      <c r="E373" s="1" t="n">
        <v>46225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46225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45818</v>
      </c>
      <c r="E375" s="1" t="n">
        <v>46225</v>
      </c>
      <c r="F375" t="inlineStr">
        <is>
          <t>KRONOBERGS LÄN</t>
        </is>
      </c>
      <c r="G375" t="inlineStr">
        <is>
          <t>ÄLMHULT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45748</v>
      </c>
      <c r="E376" s="1" t="n">
        <v>46225</v>
      </c>
      <c r="F376" t="inlineStr">
        <is>
          <t>KRONOBERGS LÄN</t>
        </is>
      </c>
      <c r="G376" t="inlineStr">
        <is>
          <t>ÄLMHULT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46225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41781-2023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46225</v>
      </c>
      <c r="F378" t="inlineStr">
        <is>
          <t>KRONOBERGS LÄN</t>
        </is>
      </c>
      <c r="G378" t="inlineStr">
        <is>
          <t>ÄLMHULT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33002-2022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44784</v>
      </c>
      <c r="E379" s="1" t="n">
        <v>46225</v>
      </c>
      <c r="F379" t="inlineStr">
        <is>
          <t>KRONOBERGS LÄN</t>
        </is>
      </c>
      <c r="G379" t="inlineStr">
        <is>
          <t>ÄLMHULT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46225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45244</v>
      </c>
      <c r="E381" s="1" t="n">
        <v>46225</v>
      </c>
      <c r="F381" t="inlineStr">
        <is>
          <t>KRONOBERGS LÄN</t>
        </is>
      </c>
      <c r="G381" t="inlineStr">
        <is>
          <t>ÄLMHULT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46225</v>
      </c>
      <c r="F382" t="inlineStr">
        <is>
          <t>KRONOBERGS LÄN</t>
        </is>
      </c>
      <c r="G382" t="inlineStr">
        <is>
          <t>ÄLMHULT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46225</v>
      </c>
      <c r="F383" t="inlineStr">
        <is>
          <t>KRONOBERGS LÄN</t>
        </is>
      </c>
      <c r="G383" t="inlineStr">
        <is>
          <t>ÄLMHULT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46225</v>
      </c>
      <c r="F384" t="inlineStr">
        <is>
          <t>KRONOBERGS LÄN</t>
        </is>
      </c>
      <c r="G384" t="inlineStr">
        <is>
          <t>ÄLMHULT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45728</v>
      </c>
      <c r="E385" s="1" t="n">
        <v>46225</v>
      </c>
      <c r="F385" t="inlineStr">
        <is>
          <t>KRONOBERGS LÄN</t>
        </is>
      </c>
      <c r="G385" t="inlineStr">
        <is>
          <t>ÄLMHULT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63116-2023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45273</v>
      </c>
      <c r="E386" s="1" t="n">
        <v>46225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63118-2023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46225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46225</v>
      </c>
      <c r="F388" t="inlineStr">
        <is>
          <t>KRONOBERGS LÄN</t>
        </is>
      </c>
      <c r="G388" t="inlineStr">
        <is>
          <t>ÄLMHULT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45078</v>
      </c>
      <c r="E389" s="1" t="n">
        <v>46225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46225</v>
      </c>
      <c r="F390" t="inlineStr">
        <is>
          <t>KRONOBERGS LÄN</t>
        </is>
      </c>
      <c r="G390" t="inlineStr">
        <is>
          <t>ÄLMHULT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46225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46225</v>
      </c>
      <c r="F392" t="inlineStr">
        <is>
          <t>KRONOBERGS LÄN</t>
        </is>
      </c>
      <c r="G392" t="inlineStr">
        <is>
          <t>ÄLMHULT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46225</v>
      </c>
      <c r="F393" t="inlineStr">
        <is>
          <t>KRONOBERGS LÄN</t>
        </is>
      </c>
      <c r="G393" t="inlineStr">
        <is>
          <t>ÄLMHULT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46225</v>
      </c>
      <c r="F394" t="inlineStr">
        <is>
          <t>KRONOBERGS LÄN</t>
        </is>
      </c>
      <c r="G394" t="inlineStr">
        <is>
          <t>ÄLMHULT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46740-2024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46225</v>
      </c>
      <c r="F395" t="inlineStr">
        <is>
          <t>KRONOBERGS LÄN</t>
        </is>
      </c>
      <c r="G395" t="inlineStr">
        <is>
          <t>ÄLMHULT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68552-2021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44529</v>
      </c>
      <c r="E396" s="1" t="n">
        <v>46225</v>
      </c>
      <c r="F396" t="inlineStr">
        <is>
          <t>KRONOBERGS LÄN</t>
        </is>
      </c>
      <c r="G396" t="inlineStr">
        <is>
          <t>ÄLMHULT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45090</v>
      </c>
      <c r="E397" s="1" t="n">
        <v>46225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45133</v>
      </c>
      <c r="E398" s="1" t="n">
        <v>46225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46225</v>
      </c>
      <c r="F399" t="inlineStr">
        <is>
          <t>KRONOBERGS LÄN</t>
        </is>
      </c>
      <c r="G399" t="inlineStr">
        <is>
          <t>ÄLMHULT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45467</v>
      </c>
      <c r="E400" s="1" t="n">
        <v>46225</v>
      </c>
      <c r="F400" t="inlineStr">
        <is>
          <t>KRONOBERGS LÄN</t>
        </is>
      </c>
      <c r="G400" t="inlineStr">
        <is>
          <t>ÄLMHULT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46225</v>
      </c>
      <c r="F401" t="inlineStr">
        <is>
          <t>KRONOBERGS LÄN</t>
        </is>
      </c>
      <c r="G401" t="inlineStr">
        <is>
          <t>ÄLMHULT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46225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46216</v>
      </c>
      <c r="E403" s="1" t="n">
        <v>46225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44897</v>
      </c>
      <c r="E404" s="1" t="n">
        <v>46225</v>
      </c>
      <c r="F404" t="inlineStr">
        <is>
          <t>KRONOBERGS LÄN</t>
        </is>
      </c>
      <c r="G404" t="inlineStr">
        <is>
          <t>ÄLMHULT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46216</v>
      </c>
      <c r="E405" s="1" t="n">
        <v>46225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43467-2025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45911</v>
      </c>
      <c r="E406" s="1" t="n">
        <v>46225</v>
      </c>
      <c r="F406" t="inlineStr">
        <is>
          <t>KRONOBERGS LÄN</t>
        </is>
      </c>
      <c r="G406" t="inlineStr">
        <is>
          <t>ÄLMHULT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46216</v>
      </c>
      <c r="E407" s="1" t="n">
        <v>46225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46225</v>
      </c>
      <c r="F408" t="inlineStr">
        <is>
          <t>KRONOBERGS LÄN</t>
        </is>
      </c>
      <c r="G408" t="inlineStr">
        <is>
          <t>ÄLMHULT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31113-2026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46216</v>
      </c>
      <c r="E409" s="1" t="n">
        <v>46225</v>
      </c>
      <c r="F409" t="inlineStr">
        <is>
          <t>KRONOBERGS LÄN</t>
        </is>
      </c>
      <c r="G409" t="inlineStr">
        <is>
          <t>ÄLMHULT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46216</v>
      </c>
      <c r="E410" s="1" t="n">
        <v>46225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46225</v>
      </c>
      <c r="F411" t="inlineStr">
        <is>
          <t>KRONOBERGS LÄN</t>
        </is>
      </c>
      <c r="G411" t="inlineStr">
        <is>
          <t>ÄLMHULT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48282-2022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46225</v>
      </c>
      <c r="F412" t="inlineStr">
        <is>
          <t>KRONOBERGS LÄN</t>
        </is>
      </c>
      <c r="G412" t="inlineStr">
        <is>
          <t>ÄLMHULT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44855-2021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44438</v>
      </c>
      <c r="E413" s="1" t="n">
        <v>46225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45374</v>
      </c>
      <c r="E414" s="1" t="n">
        <v>46225</v>
      </c>
      <c r="F414" t="inlineStr">
        <is>
          <t>KRONOBERGS LÄN</t>
        </is>
      </c>
      <c r="G414" t="inlineStr">
        <is>
          <t>ÄLMHULT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19818-2024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45433</v>
      </c>
      <c r="E415" s="1" t="n">
        <v>46225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44897</v>
      </c>
      <c r="E416" s="1" t="n">
        <v>46225</v>
      </c>
      <c r="F416" t="inlineStr">
        <is>
          <t>KRONOBERGS LÄN</t>
        </is>
      </c>
      <c r="G416" t="inlineStr">
        <is>
          <t>ÄLMHULT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45737</v>
      </c>
      <c r="E417" s="1" t="n">
        <v>46225</v>
      </c>
      <c r="F417" t="inlineStr">
        <is>
          <t>KRONOBERGS LÄN</t>
        </is>
      </c>
      <c r="G417" t="inlineStr">
        <is>
          <t>ÄLMHULT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46225</v>
      </c>
      <c r="F418" t="inlineStr">
        <is>
          <t>KRONOBERGS LÄN</t>
        </is>
      </c>
      <c r="G418" t="inlineStr">
        <is>
          <t>ÄLMHULT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43876-2021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44434</v>
      </c>
      <c r="E419" s="1" t="n">
        <v>46225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45103</v>
      </c>
      <c r="E420" s="1" t="n">
        <v>46225</v>
      </c>
      <c r="F420" t="inlineStr">
        <is>
          <t>KRONOBERGS LÄN</t>
        </is>
      </c>
      <c r="G420" t="inlineStr">
        <is>
          <t>ÄLMHULT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58490-2023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46225</v>
      </c>
      <c r="F421" t="inlineStr">
        <is>
          <t>KRONOBERGS LÄN</t>
        </is>
      </c>
      <c r="G421" t="inlineStr">
        <is>
          <t>ÄLMHULT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46225</v>
      </c>
      <c r="F422" t="inlineStr">
        <is>
          <t>KRONOBERGS LÄN</t>
        </is>
      </c>
      <c r="G422" t="inlineStr">
        <is>
          <t>ÄLMHULT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45049</v>
      </c>
      <c r="E423" s="1" t="n">
        <v>46225</v>
      </c>
      <c r="F423" t="inlineStr">
        <is>
          <t>KRONOBERGS LÄN</t>
        </is>
      </c>
      <c r="G423" t="inlineStr">
        <is>
          <t>ÄLMHULT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63569-2021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44508</v>
      </c>
      <c r="E424" s="1" t="n">
        <v>46225</v>
      </c>
      <c r="F424" t="inlineStr">
        <is>
          <t>KRONOBERGS LÄN</t>
        </is>
      </c>
      <c r="G424" t="inlineStr">
        <is>
          <t>ÄLMHULT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46225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45001</v>
      </c>
      <c r="E426" s="1" t="n">
        <v>46225</v>
      </c>
      <c r="F426" t="inlineStr">
        <is>
          <t>KRONOBERGS LÄN</t>
        </is>
      </c>
      <c r="G426" t="inlineStr">
        <is>
          <t>ÄLMHULT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46225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56938-2021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46225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44935</v>
      </c>
      <c r="E429" s="1" t="n">
        <v>46225</v>
      </c>
      <c r="F429" t="inlineStr">
        <is>
          <t>KRONOBERGS LÄN</t>
        </is>
      </c>
      <c r="G429" t="inlineStr">
        <is>
          <t>ÄLMHULT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46225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45352</v>
      </c>
      <c r="E431" s="1" t="n">
        <v>46225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45092</v>
      </c>
      <c r="E432" s="1" t="n">
        <v>46225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13606-2023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45006</v>
      </c>
      <c r="E433" s="1" t="n">
        <v>46225</v>
      </c>
      <c r="F433" t="inlineStr">
        <is>
          <t>KRONOBERGS LÄN</t>
        </is>
      </c>
      <c r="G433" t="inlineStr">
        <is>
          <t>ÄLMHULT</t>
        </is>
      </c>
      <c r="H433" t="inlineStr">
        <is>
          <t>Kommuner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46225</v>
      </c>
      <c r="F434" t="inlineStr">
        <is>
          <t>KRONOBERGS LÄN</t>
        </is>
      </c>
      <c r="G434" t="inlineStr">
        <is>
          <t>ÄLMHULT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39380-2023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45166</v>
      </c>
      <c r="E435" s="1" t="n">
        <v>46225</v>
      </c>
      <c r="F435" t="inlineStr">
        <is>
          <t>KRONOBERGS LÄN</t>
        </is>
      </c>
      <c r="G435" t="inlineStr">
        <is>
          <t>ÄLMHULT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45376</v>
      </c>
      <c r="E436" s="1" t="n">
        <v>46225</v>
      </c>
      <c r="F436" t="inlineStr">
        <is>
          <t>KRONOBERGS LÄN</t>
        </is>
      </c>
      <c r="G436" t="inlineStr">
        <is>
          <t>ÄLMHULT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44942</v>
      </c>
      <c r="E437" s="1" t="n">
        <v>46225</v>
      </c>
      <c r="F437" t="inlineStr">
        <is>
          <t>KRONOBERGS LÄN</t>
        </is>
      </c>
      <c r="G437" t="inlineStr">
        <is>
          <t>ÄLMHULT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14890-2023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46225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71802-2021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46225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46225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45450</v>
      </c>
      <c r="E441" s="1" t="n">
        <v>46225</v>
      </c>
      <c r="F441" t="inlineStr">
        <is>
          <t>KRONOBERGS LÄN</t>
        </is>
      </c>
      <c r="G441" t="inlineStr">
        <is>
          <t>ÄLMHULT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67257-2021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46225</v>
      </c>
      <c r="F442" t="inlineStr">
        <is>
          <t>KRONOBERGS LÄN</t>
        </is>
      </c>
      <c r="G442" t="inlineStr">
        <is>
          <t>ÄLMHULT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55629-2021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44476</v>
      </c>
      <c r="E443" s="1" t="n">
        <v>46225</v>
      </c>
      <c r="F443" t="inlineStr">
        <is>
          <t>KRONOBERGS LÄN</t>
        </is>
      </c>
      <c r="G443" t="inlineStr">
        <is>
          <t>ÄLMHULT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47281-2024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45586</v>
      </c>
      <c r="E444" s="1" t="n">
        <v>46225</v>
      </c>
      <c r="F444" t="inlineStr">
        <is>
          <t>KRONOBERGS LÄN</t>
        </is>
      </c>
      <c r="G444" t="inlineStr">
        <is>
          <t>ÄLMHULT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54734-2021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44473</v>
      </c>
      <c r="E445" s="1" t="n">
        <v>46225</v>
      </c>
      <c r="F445" t="inlineStr">
        <is>
          <t>KRONOBERGS LÄN</t>
        </is>
      </c>
      <c r="G445" t="inlineStr">
        <is>
          <t>ÄLMHULT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45615</v>
      </c>
      <c r="E446" s="1" t="n">
        <v>46225</v>
      </c>
      <c r="F446" t="inlineStr">
        <is>
          <t>KRONOBERGS LÄN</t>
        </is>
      </c>
      <c r="G446" t="inlineStr">
        <is>
          <t>ÄLMHULT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5135-2023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46225</v>
      </c>
      <c r="F447" t="inlineStr">
        <is>
          <t>KRONOBERGS LÄN</t>
        </is>
      </c>
      <c r="G447" t="inlineStr">
        <is>
          <t>ÄLMHULT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46225</v>
      </c>
      <c r="F448" t="inlineStr">
        <is>
          <t>KRONOBERGS LÄN</t>
        </is>
      </c>
      <c r="G448" t="inlineStr">
        <is>
          <t>ÄLMHULT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  <c r="Z448">
        <f>HYPERLINK("https://klasma.github.io/Logging_0765/knärot/A 27756-2023 karta knärot.png", "A 27756-2023")</f>
        <v/>
      </c>
      <c r="AA448">
        <f>HYPERLINK("https://klasma.github.io/Logging_0765/klagomål/A 27756-2023 FSC-klagomål.docx", "A 27756-2023")</f>
        <v/>
      </c>
      <c r="AB448">
        <f>HYPERLINK("https://klasma.github.io/Logging_0765/klagomålsmail/A 27756-2023 FSC-klagomål mail.docx", "A 27756-2023")</f>
        <v/>
      </c>
      <c r="AC448">
        <f>HYPERLINK("https://klasma.github.io/Logging_0765/tillsyn/A 27756-2023 tillsynsbegäran.docx", "A 27756-2023")</f>
        <v/>
      </c>
      <c r="AD448">
        <f>HYPERLINK("https://klasma.github.io/Logging_0765/tillsynsmail/A 27756-2023 tillsynsbegäran mail.docx", "A 27756-2023")</f>
        <v/>
      </c>
    </row>
    <row r="449" ht="15" customHeight="1">
      <c r="A449" t="inlineStr">
        <is>
          <t>A 52171-2024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46225</v>
      </c>
      <c r="F449" t="inlineStr">
        <is>
          <t>KRONOBERGS LÄN</t>
        </is>
      </c>
      <c r="G449" t="inlineStr">
        <is>
          <t>ÄLMHULT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45156</v>
      </c>
      <c r="E450" s="1" t="n">
        <v>46225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40909-2024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46225</v>
      </c>
      <c r="F451" t="inlineStr">
        <is>
          <t>KRONOBERGS LÄN</t>
        </is>
      </c>
      <c r="G451" t="inlineStr">
        <is>
          <t>ÄLMHULT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45539</v>
      </c>
      <c r="E452" s="1" t="n">
        <v>46225</v>
      </c>
      <c r="F452" t="inlineStr">
        <is>
          <t>KRONOBERGS LÄN</t>
        </is>
      </c>
      <c r="G452" t="inlineStr">
        <is>
          <t>ÄLMHULT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45133</v>
      </c>
      <c r="E453" s="1" t="n">
        <v>46225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45355</v>
      </c>
      <c r="E454" s="1" t="n">
        <v>46225</v>
      </c>
      <c r="F454" t="inlineStr">
        <is>
          <t>KRONOBERGS LÄN</t>
        </is>
      </c>
      <c r="G454" t="inlineStr">
        <is>
          <t>ÄLMHULT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45355</v>
      </c>
      <c r="E455" s="1" t="n">
        <v>46225</v>
      </c>
      <c r="F455" t="inlineStr">
        <is>
          <t>KRONOBERGS LÄN</t>
        </is>
      </c>
      <c r="G455" t="inlineStr">
        <is>
          <t>ÄLMHULT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46225</v>
      </c>
      <c r="F456" t="inlineStr">
        <is>
          <t>KRONOBERGS LÄN</t>
        </is>
      </c>
      <c r="G456" t="inlineStr">
        <is>
          <t>ÄLMHULT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45189</v>
      </c>
      <c r="E457" s="1" t="n">
        <v>46225</v>
      </c>
      <c r="F457" t="inlineStr">
        <is>
          <t>KRONOBERGS LÄN</t>
        </is>
      </c>
      <c r="G457" t="inlineStr">
        <is>
          <t>ÄLMHULT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14283-2023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45010</v>
      </c>
      <c r="E458" s="1" t="n">
        <v>46225</v>
      </c>
      <c r="F458" t="inlineStr">
        <is>
          <t>KRONOBERGS LÄN</t>
        </is>
      </c>
      <c r="G458" t="inlineStr">
        <is>
          <t>ÄLMHULT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37067-2024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45539</v>
      </c>
      <c r="E459" s="1" t="n">
        <v>46225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46225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45720</v>
      </c>
      <c r="E461" s="1" t="n">
        <v>46225</v>
      </c>
      <c r="F461" t="inlineStr">
        <is>
          <t>KRONOBERGS LÄN</t>
        </is>
      </c>
      <c r="G461" t="inlineStr">
        <is>
          <t>ÄLMHULT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46225</v>
      </c>
      <c r="F462" t="inlineStr">
        <is>
          <t>KRONOBERGS LÄN</t>
        </is>
      </c>
      <c r="G462" t="inlineStr">
        <is>
          <t>ÄLMHULT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19265-2023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45049</v>
      </c>
      <c r="E463" s="1" t="n">
        <v>46225</v>
      </c>
      <c r="F463" t="inlineStr">
        <is>
          <t>KRONOBERGS LÄN</t>
        </is>
      </c>
      <c r="G463" t="inlineStr">
        <is>
          <t>ÄLMHULT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46225</v>
      </c>
      <c r="F464" t="inlineStr">
        <is>
          <t>KRONOBERGS LÄN</t>
        </is>
      </c>
      <c r="G464" t="inlineStr">
        <is>
          <t>ÄLMHULT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64773-2023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45282</v>
      </c>
      <c r="E465" s="1" t="n">
        <v>46225</v>
      </c>
      <c r="F465" t="inlineStr">
        <is>
          <t>KRONOBERGS LÄN</t>
        </is>
      </c>
      <c r="G465" t="inlineStr">
        <is>
          <t>ÄLMHULT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18440-2022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44686</v>
      </c>
      <c r="E466" s="1" t="n">
        <v>46225</v>
      </c>
      <c r="F466" t="inlineStr">
        <is>
          <t>KRONOBERGS LÄN</t>
        </is>
      </c>
      <c r="G466" t="inlineStr">
        <is>
          <t>ÄLMHULT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46225</v>
      </c>
      <c r="F467" t="inlineStr">
        <is>
          <t>KRONOBERGS LÄN</t>
        </is>
      </c>
      <c r="G467" t="inlineStr">
        <is>
          <t>ÄLMHULT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45616</v>
      </c>
      <c r="E468" s="1" t="n">
        <v>46225</v>
      </c>
      <c r="F468" t="inlineStr">
        <is>
          <t>KRONOBERGS LÄN</t>
        </is>
      </c>
      <c r="G468" t="inlineStr">
        <is>
          <t>ÄLMHULT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44636</v>
      </c>
      <c r="E469" s="1" t="n">
        <v>46225</v>
      </c>
      <c r="F469" t="inlineStr">
        <is>
          <t>KRONOBERGS LÄN</t>
        </is>
      </c>
      <c r="G469" t="inlineStr">
        <is>
          <t>ÄLMHULT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46472-2023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45191</v>
      </c>
      <c r="E470" s="1" t="n">
        <v>46225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45716</v>
      </c>
      <c r="E471" s="1" t="n">
        <v>46225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45716</v>
      </c>
      <c r="E472" s="1" t="n">
        <v>46225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69454-2021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44531</v>
      </c>
      <c r="E473" s="1" t="n">
        <v>46225</v>
      </c>
      <c r="F473" t="inlineStr">
        <is>
          <t>KRONOBERGS LÄN</t>
        </is>
      </c>
      <c r="G473" t="inlineStr">
        <is>
          <t>ÄLMHULT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44587</v>
      </c>
      <c r="E474" s="1" t="n">
        <v>46225</v>
      </c>
      <c r="F474" t="inlineStr">
        <is>
          <t>KRONOBERGS LÄN</t>
        </is>
      </c>
      <c r="G474" t="inlineStr">
        <is>
          <t>ÄLMHULT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45062</v>
      </c>
      <c r="E475" s="1" t="n">
        <v>46225</v>
      </c>
      <c r="F475" t="inlineStr">
        <is>
          <t>KRONOBERGS LÄN</t>
        </is>
      </c>
      <c r="G475" t="inlineStr">
        <is>
          <t>ÄLMHULT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45677</v>
      </c>
      <c r="E476" s="1" t="n">
        <v>46225</v>
      </c>
      <c r="F476" t="inlineStr">
        <is>
          <t>KRONOBERGS LÄN</t>
        </is>
      </c>
      <c r="G476" t="inlineStr">
        <is>
          <t>ÄLMHULT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51764-2023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45222</v>
      </c>
      <c r="E477" s="1" t="n">
        <v>46225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44592</v>
      </c>
      <c r="E478" s="1" t="n">
        <v>46225</v>
      </c>
      <c r="F478" t="inlineStr">
        <is>
          <t>KRONOBERGS LÄN</t>
        </is>
      </c>
      <c r="G478" t="inlineStr">
        <is>
          <t>ÄLMHULT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49934-2023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46225</v>
      </c>
      <c r="F479" t="inlineStr">
        <is>
          <t>KRONOBERGS LÄN</t>
        </is>
      </c>
      <c r="G479" t="inlineStr">
        <is>
          <t>ÄLMHULT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45653</v>
      </c>
      <c r="E480" s="1" t="n">
        <v>46225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44859</v>
      </c>
      <c r="E481" s="1" t="n">
        <v>46225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44634</v>
      </c>
      <c r="E482" s="1" t="n">
        <v>46225</v>
      </c>
      <c r="F482" t="inlineStr">
        <is>
          <t>KRONOBERGS LÄN</t>
        </is>
      </c>
      <c r="G482" t="inlineStr">
        <is>
          <t>ÄLMHULT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49292-2022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44861</v>
      </c>
      <c r="E483" s="1" t="n">
        <v>46225</v>
      </c>
      <c r="F483" t="inlineStr">
        <is>
          <t>KRONOBERGS LÄN</t>
        </is>
      </c>
      <c r="G483" t="inlineStr">
        <is>
          <t>ÄLMHULT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56660-2024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45625</v>
      </c>
      <c r="E484" s="1" t="n">
        <v>46225</v>
      </c>
      <c r="F484" t="inlineStr">
        <is>
          <t>KRONOBERGS LÄN</t>
        </is>
      </c>
      <c r="G484" t="inlineStr">
        <is>
          <t>ÄLMHULT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46225</v>
      </c>
      <c r="F485" t="inlineStr">
        <is>
          <t>KRONOBERGS LÄN</t>
        </is>
      </c>
      <c r="G485" t="inlineStr">
        <is>
          <t>ÄLMHULT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20120-2022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44698</v>
      </c>
      <c r="E486" s="1" t="n">
        <v>46225</v>
      </c>
      <c r="F486" t="inlineStr">
        <is>
          <t>KRONOBERGS LÄN</t>
        </is>
      </c>
      <c r="G486" t="inlineStr">
        <is>
          <t>ÄLMHULT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46225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45240</v>
      </c>
      <c r="E488" s="1" t="n">
        <v>46225</v>
      </c>
      <c r="F488" t="inlineStr">
        <is>
          <t>KRONOBERGS LÄN</t>
        </is>
      </c>
      <c r="G488" t="inlineStr">
        <is>
          <t>ÄLMHULT</t>
        </is>
      </c>
      <c r="H488" t="inlineStr">
        <is>
          <t>Kyrkan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39360-2023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46225</v>
      </c>
      <c r="F489" t="inlineStr">
        <is>
          <t>KRONOBERGS LÄN</t>
        </is>
      </c>
      <c r="G489" t="inlineStr">
        <is>
          <t>ÄLMHULT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46225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45693</v>
      </c>
      <c r="E491" s="1" t="n">
        <v>46225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45698</v>
      </c>
      <c r="E492" s="1" t="n">
        <v>46225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47425-2023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45202</v>
      </c>
      <c r="E493" s="1" t="n">
        <v>46225</v>
      </c>
      <c r="F493" t="inlineStr">
        <is>
          <t>KRONOBERGS LÄN</t>
        </is>
      </c>
      <c r="G493" t="inlineStr">
        <is>
          <t>ÄLMHULT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42490-2023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45180</v>
      </c>
      <c r="E494" s="1" t="n">
        <v>46225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46225</v>
      </c>
      <c r="F495" t="inlineStr">
        <is>
          <t>KRONOBERGS LÄN</t>
        </is>
      </c>
      <c r="G495" t="inlineStr">
        <is>
          <t>ÄLMHULT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45214</v>
      </c>
      <c r="E496" s="1" t="n">
        <v>46225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41566-2023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46225</v>
      </c>
      <c r="F497" t="inlineStr">
        <is>
          <t>KRONOBERGS LÄN</t>
        </is>
      </c>
      <c r="G497" t="inlineStr">
        <is>
          <t>ÄLMHULT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41577-2023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45175</v>
      </c>
      <c r="E498" s="1" t="n">
        <v>46225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46225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45681</v>
      </c>
      <c r="E500" s="1" t="n">
        <v>46225</v>
      </c>
      <c r="F500" t="inlineStr">
        <is>
          <t>KRONOBERGS LÄN</t>
        </is>
      </c>
      <c r="G500" t="inlineStr">
        <is>
          <t>ÄLMHULT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54363-2023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45233</v>
      </c>
      <c r="E501" s="1" t="n">
        <v>46225</v>
      </c>
      <c r="F501" t="inlineStr">
        <is>
          <t>KRONOBERGS LÄN</t>
        </is>
      </c>
      <c r="G501" t="inlineStr">
        <is>
          <t>ÄLMHULT</t>
        </is>
      </c>
      <c r="I501" t="n">
        <v>8.6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54364-2023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45233</v>
      </c>
      <c r="E502" s="1" t="n">
        <v>46225</v>
      </c>
      <c r="F502" t="inlineStr">
        <is>
          <t>KRONOBERGS LÄN</t>
        </is>
      </c>
      <c r="G502" t="inlineStr">
        <is>
          <t>ÄLMHULT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53201-2024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45612</v>
      </c>
      <c r="E503" s="1" t="n">
        <v>46225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46225</v>
      </c>
      <c r="F504" t="inlineStr">
        <is>
          <t>KRONOBERGS LÄN</t>
        </is>
      </c>
      <c r="G504" t="inlineStr">
        <is>
          <t>ÄLMHULT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57574-2023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46225</v>
      </c>
      <c r="F505" t="inlineStr">
        <is>
          <t>KRONOBERGS LÄN</t>
        </is>
      </c>
      <c r="G505" t="inlineStr">
        <is>
          <t>ÄLMHULT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46225</v>
      </c>
      <c r="F506" t="inlineStr">
        <is>
          <t>KRONOBERGS LÄN</t>
        </is>
      </c>
      <c r="G506" t="inlineStr">
        <is>
          <t>ÄLMHULT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46225</v>
      </c>
      <c r="F507" t="inlineStr">
        <is>
          <t>KRONOBERGS LÄN</t>
        </is>
      </c>
      <c r="G507" t="inlineStr">
        <is>
          <t>ÄLMHULT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45352</v>
      </c>
      <c r="E508" s="1" t="n">
        <v>46225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46225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45250</v>
      </c>
      <c r="E510" s="1" t="n">
        <v>46225</v>
      </c>
      <c r="F510" t="inlineStr">
        <is>
          <t>KRONOBERGS LÄN</t>
        </is>
      </c>
      <c r="G510" t="inlineStr">
        <is>
          <t>ÄLMHULT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46225</v>
      </c>
      <c r="F511" t="inlineStr">
        <is>
          <t>KRONOBERGS LÄN</t>
        </is>
      </c>
      <c r="G511" t="inlineStr">
        <is>
          <t>ÄLMHULT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45421</v>
      </c>
      <c r="E512" s="1" t="n">
        <v>46225</v>
      </c>
      <c r="F512" t="inlineStr">
        <is>
          <t>KRONOBERGS LÄN</t>
        </is>
      </c>
      <c r="G512" t="inlineStr">
        <is>
          <t>ÄLMHULT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49578-2023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46225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45084</v>
      </c>
      <c r="E514" s="1" t="n">
        <v>46225</v>
      </c>
      <c r="F514" t="inlineStr">
        <is>
          <t>KRONOBERGS LÄN</t>
        </is>
      </c>
      <c r="G514" t="inlineStr">
        <is>
          <t>ÄLMHULT</t>
        </is>
      </c>
      <c r="I514" t="n">
        <v>7.9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60690-2021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44496</v>
      </c>
      <c r="E515" s="1" t="n">
        <v>46225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19704-2023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45051</v>
      </c>
      <c r="E516" s="1" t="n">
        <v>46225</v>
      </c>
      <c r="F516" t="inlineStr">
        <is>
          <t>KRONOBERGS LÄN</t>
        </is>
      </c>
      <c r="G516" t="inlineStr">
        <is>
          <t>ÄLMHULT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45268</v>
      </c>
      <c r="E517" s="1" t="n">
        <v>46225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45469</v>
      </c>
      <c r="E518" s="1" t="n">
        <v>46225</v>
      </c>
      <c r="F518" t="inlineStr">
        <is>
          <t>KRONOBERGS LÄN</t>
        </is>
      </c>
      <c r="G518" t="inlineStr">
        <is>
          <t>ÄLMHULT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41485-2023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46225</v>
      </c>
      <c r="F519" t="inlineStr">
        <is>
          <t>KRONOBERGS LÄN</t>
        </is>
      </c>
      <c r="G519" t="inlineStr">
        <is>
          <t>ÄLMHULT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44876</v>
      </c>
      <c r="E520" s="1" t="n">
        <v>46225</v>
      </c>
      <c r="F520" t="inlineStr">
        <is>
          <t>KRONOBERGS LÄN</t>
        </is>
      </c>
      <c r="G520" t="inlineStr">
        <is>
          <t>ÄLMHULT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45440</v>
      </c>
      <c r="E521" s="1" t="n">
        <v>46225</v>
      </c>
      <c r="F521" t="inlineStr">
        <is>
          <t>KRONOBERGS LÄN</t>
        </is>
      </c>
      <c r="G521" t="inlineStr">
        <is>
          <t>ÄLMHULT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62120-2022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44921</v>
      </c>
      <c r="E522" s="1" t="n">
        <v>46225</v>
      </c>
      <c r="F522" t="inlineStr">
        <is>
          <t>KRONOBERGS LÄN</t>
        </is>
      </c>
      <c r="G522" t="inlineStr">
        <is>
          <t>ÄLMHULT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45734</v>
      </c>
      <c r="E523" s="1" t="n">
        <v>46225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52175-2024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45608</v>
      </c>
      <c r="E524" s="1" t="n">
        <v>46225</v>
      </c>
      <c r="F524" t="inlineStr">
        <is>
          <t>KRONOBERGS LÄN</t>
        </is>
      </c>
      <c r="G524" t="inlineStr">
        <is>
          <t>ÄLMHULT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46225</v>
      </c>
      <c r="F525" t="inlineStr">
        <is>
          <t>KRONOBERGS LÄN</t>
        </is>
      </c>
      <c r="G525" t="inlineStr">
        <is>
          <t>ÄLMHULT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44621</v>
      </c>
      <c r="E526" s="1" t="n">
        <v>46225</v>
      </c>
      <c r="F526" t="inlineStr">
        <is>
          <t>KRONOBERGS LÄN</t>
        </is>
      </c>
      <c r="G526" t="inlineStr">
        <is>
          <t>ÄLMHULT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48331-2022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44858</v>
      </c>
      <c r="E527" s="1" t="n">
        <v>46225</v>
      </c>
      <c r="F527" t="inlineStr">
        <is>
          <t>KRONOBERGS LÄN</t>
        </is>
      </c>
      <c r="G527" t="inlineStr">
        <is>
          <t>ÄLMHULT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43903-2023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46225</v>
      </c>
      <c r="F528" t="inlineStr">
        <is>
          <t>KRONOBERGS LÄN</t>
        </is>
      </c>
      <c r="G528" t="inlineStr">
        <is>
          <t>ÄLMHULT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46225</v>
      </c>
      <c r="F529" t="inlineStr">
        <is>
          <t>KRONOBERGS LÄN</t>
        </is>
      </c>
      <c r="G529" t="inlineStr">
        <is>
          <t>ÄLMHULT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17212-2024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45414</v>
      </c>
      <c r="E530" s="1" t="n">
        <v>46225</v>
      </c>
      <c r="F530" t="inlineStr">
        <is>
          <t>KRONOBERGS LÄN</t>
        </is>
      </c>
      <c r="G530" t="inlineStr">
        <is>
          <t>ÄLMHULT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11188-2023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44992</v>
      </c>
      <c r="E531" s="1" t="n">
        <v>46225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8329-2022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44610</v>
      </c>
      <c r="E532" s="1" t="n">
        <v>46225</v>
      </c>
      <c r="F532" t="inlineStr">
        <is>
          <t>KRONOBERGS LÄN</t>
        </is>
      </c>
      <c r="G532" t="inlineStr">
        <is>
          <t>ÄLMHULT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44992</v>
      </c>
      <c r="E533" s="1" t="n">
        <v>46225</v>
      </c>
      <c r="F533" t="inlineStr">
        <is>
          <t>KRONOBERGS LÄN</t>
        </is>
      </c>
      <c r="G533" t="inlineStr">
        <is>
          <t>ÄLMHULT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45069-2024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45575</v>
      </c>
      <c r="E534" s="1" t="n">
        <v>46225</v>
      </c>
      <c r="F534" t="inlineStr">
        <is>
          <t>KRONOBERGS LÄN</t>
        </is>
      </c>
      <c r="G534" t="inlineStr">
        <is>
          <t>ÄLMHULT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44942</v>
      </c>
      <c r="E535" s="1" t="n">
        <v>46225</v>
      </c>
      <c r="F535" t="inlineStr">
        <is>
          <t>KRONOBERGS LÄN</t>
        </is>
      </c>
      <c r="G535" t="inlineStr">
        <is>
          <t>ÄLMHULT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24928-2023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45085</v>
      </c>
      <c r="E536" s="1" t="n">
        <v>46225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46225</v>
      </c>
      <c r="F537" t="inlineStr">
        <is>
          <t>KRONOBERGS LÄN</t>
        </is>
      </c>
      <c r="G537" t="inlineStr">
        <is>
          <t>ÄLMHULT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44860</v>
      </c>
      <c r="E538" s="1" t="n">
        <v>46225</v>
      </c>
      <c r="F538" t="inlineStr">
        <is>
          <t>KRONOBERGS LÄN</t>
        </is>
      </c>
      <c r="G538" t="inlineStr">
        <is>
          <t>ÄLMHULT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43852-2023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45187</v>
      </c>
      <c r="E539" s="1" t="n">
        <v>46225</v>
      </c>
      <c r="F539" t="inlineStr">
        <is>
          <t>KRONOBERGS LÄN</t>
        </is>
      </c>
      <c r="G539" t="inlineStr">
        <is>
          <t>ÄLMHULT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65247-2023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45290</v>
      </c>
      <c r="E540" s="1" t="n">
        <v>46225</v>
      </c>
      <c r="F540" t="inlineStr">
        <is>
          <t>KRONOBERGS LÄN</t>
        </is>
      </c>
      <c r="G540" t="inlineStr">
        <is>
          <t>ÄLMHULT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52332-2024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45609</v>
      </c>
      <c r="E541" s="1" t="n">
        <v>46225</v>
      </c>
      <c r="F541" t="inlineStr">
        <is>
          <t>KRONOBERGS LÄN</t>
        </is>
      </c>
      <c r="G541" t="inlineStr">
        <is>
          <t>ÄLMHULT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45217</v>
      </c>
      <c r="E542" s="1" t="n">
        <v>46225</v>
      </c>
      <c r="F542" t="inlineStr">
        <is>
          <t>KRONOBERGS LÄN</t>
        </is>
      </c>
      <c r="G542" t="inlineStr">
        <is>
          <t>ÄLMHULT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56925-2023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46225</v>
      </c>
      <c r="F543" t="inlineStr">
        <is>
          <t>KRONOBERGS LÄN</t>
        </is>
      </c>
      <c r="G543" t="inlineStr">
        <is>
          <t>ÄLMHULT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30494-2023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45111</v>
      </c>
      <c r="E544" s="1" t="n">
        <v>46225</v>
      </c>
      <c r="F544" t="inlineStr">
        <is>
          <t>KRONOBERGS LÄN</t>
        </is>
      </c>
      <c r="G544" t="inlineStr">
        <is>
          <t>ÄLMHULT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46225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34794-2023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45141</v>
      </c>
      <c r="E546" s="1" t="n">
        <v>46225</v>
      </c>
      <c r="F546" t="inlineStr">
        <is>
          <t>KRONOBERGS LÄN</t>
        </is>
      </c>
      <c r="G546" t="inlineStr">
        <is>
          <t>ÄLMHULT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45359</v>
      </c>
      <c r="E547" s="1" t="n">
        <v>46225</v>
      </c>
      <c r="F547" t="inlineStr">
        <is>
          <t>KRONOBERGS LÄN</t>
        </is>
      </c>
      <c r="G547" t="inlineStr">
        <is>
          <t>ÄLMHULT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14425-2023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46225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18575-2022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46225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45081</v>
      </c>
      <c r="E550" s="1" t="n">
        <v>46225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45068</v>
      </c>
      <c r="E551" s="1" t="n">
        <v>46225</v>
      </c>
      <c r="F551" t="inlineStr">
        <is>
          <t>KRONOBERGS LÄN</t>
        </is>
      </c>
      <c r="G551" t="inlineStr">
        <is>
          <t>ÄLMHULT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45010</v>
      </c>
      <c r="E552" s="1" t="n">
        <v>46225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45048</v>
      </c>
      <c r="E553" s="1" t="n">
        <v>46225</v>
      </c>
      <c r="F553" t="inlineStr">
        <is>
          <t>KRONOBERGS LÄN</t>
        </is>
      </c>
      <c r="G553" t="inlineStr">
        <is>
          <t>ÄLMHULT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45177</v>
      </c>
      <c r="E554" s="1" t="n">
        <v>46225</v>
      </c>
      <c r="F554" t="inlineStr">
        <is>
          <t>KRONOBERGS LÄN</t>
        </is>
      </c>
      <c r="G554" t="inlineStr">
        <is>
          <t>ÄLMHULT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45042</v>
      </c>
      <c r="E555" s="1" t="n">
        <v>46225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63115-2023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45273</v>
      </c>
      <c r="E556" s="1" t="n">
        <v>46225</v>
      </c>
      <c r="F556" t="inlineStr">
        <is>
          <t>KRONOBERGS LÄN</t>
        </is>
      </c>
      <c r="G556" t="inlineStr">
        <is>
          <t>ÄLMHULT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45391</v>
      </c>
      <c r="E557" s="1" t="n">
        <v>46225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33944-2023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45134</v>
      </c>
      <c r="E558" s="1" t="n">
        <v>46225</v>
      </c>
      <c r="F558" t="inlineStr">
        <is>
          <t>KRONOBERGS LÄN</t>
        </is>
      </c>
      <c r="G558" t="inlineStr">
        <is>
          <t>ÄLMHULT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27863-2022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44743</v>
      </c>
      <c r="E559" s="1" t="n">
        <v>46225</v>
      </c>
      <c r="F559" t="inlineStr">
        <is>
          <t>KRONOBERGS LÄN</t>
        </is>
      </c>
      <c r="G559" t="inlineStr">
        <is>
          <t>ÄLMHULT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26605-2024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45469</v>
      </c>
      <c r="E560" s="1" t="n">
        <v>46225</v>
      </c>
      <c r="F560" t="inlineStr">
        <is>
          <t>KRONOBERGS LÄN</t>
        </is>
      </c>
      <c r="G560" t="inlineStr">
        <is>
          <t>ÄLMHULT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8434-2023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44977</v>
      </c>
      <c r="E561" s="1" t="n">
        <v>46225</v>
      </c>
      <c r="F561" t="inlineStr">
        <is>
          <t>KRONOBERGS LÄN</t>
        </is>
      </c>
      <c r="G561" t="inlineStr">
        <is>
          <t>ÄLMHULT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46225</v>
      </c>
      <c r="F562" t="inlineStr">
        <is>
          <t>KRONOBERGS LÄN</t>
        </is>
      </c>
      <c r="G562" t="inlineStr">
        <is>
          <t>ÄLMHULT</t>
        </is>
      </c>
      <c r="H562" t="inlineStr">
        <is>
          <t>Sveaskog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11597-2024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45373</v>
      </c>
      <c r="E563" s="1" t="n">
        <v>46225</v>
      </c>
      <c r="F563" t="inlineStr">
        <is>
          <t>KRONOBERGS LÄN</t>
        </is>
      </c>
      <c r="G563" t="inlineStr">
        <is>
          <t>ÄLMHULT</t>
        </is>
      </c>
      <c r="H563" t="inlineStr">
        <is>
          <t>Sveaskog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56955-2024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45628</v>
      </c>
      <c r="E564" s="1" t="n">
        <v>46225</v>
      </c>
      <c r="F564" t="inlineStr">
        <is>
          <t>KRONOBERGS LÄN</t>
        </is>
      </c>
      <c r="G564" t="inlineStr">
        <is>
          <t>ÄLMHULT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45311</v>
      </c>
      <c r="E565" s="1" t="n">
        <v>46225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45061</v>
      </c>
      <c r="E566" s="1" t="n">
        <v>46225</v>
      </c>
      <c r="F566" t="inlineStr">
        <is>
          <t>KRONOBERGS LÄN</t>
        </is>
      </c>
      <c r="G566" t="inlineStr">
        <is>
          <t>ÄLMHULT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59631-2024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46225</v>
      </c>
      <c r="F567" t="inlineStr">
        <is>
          <t>KRONOBERGS LÄN</t>
        </is>
      </c>
      <c r="G567" t="inlineStr">
        <is>
          <t>ÄLMHULT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59585-2024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45638</v>
      </c>
      <c r="E568" s="1" t="n">
        <v>46225</v>
      </c>
      <c r="F568" t="inlineStr">
        <is>
          <t>KRONOBERGS LÄN</t>
        </is>
      </c>
      <c r="G568" t="inlineStr">
        <is>
          <t>ÄLMHULT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46225</v>
      </c>
      <c r="F569" t="inlineStr">
        <is>
          <t>KRONOBERGS LÄN</t>
        </is>
      </c>
      <c r="G569" t="inlineStr">
        <is>
          <t>ÄLMHULT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45612</v>
      </c>
      <c r="E570" s="1" t="n">
        <v>46225</v>
      </c>
      <c r="F570" t="inlineStr">
        <is>
          <t>KRONOBERGS LÄN</t>
        </is>
      </c>
      <c r="G570" t="inlineStr">
        <is>
          <t>ÄLMHULT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19768-2023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46225</v>
      </c>
      <c r="F571" t="inlineStr">
        <is>
          <t>KRONOBERGS LÄN</t>
        </is>
      </c>
      <c r="G571" t="inlineStr">
        <is>
          <t>ÄLMHULT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44942</v>
      </c>
      <c r="E572" s="1" t="n">
        <v>46225</v>
      </c>
      <c r="F572" t="inlineStr">
        <is>
          <t>KRONOBERGS LÄN</t>
        </is>
      </c>
      <c r="G572" t="inlineStr">
        <is>
          <t>ÄLMHULT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46225</v>
      </c>
      <c r="F573" t="inlineStr">
        <is>
          <t>KRONOBERGS LÄN</t>
        </is>
      </c>
      <c r="G573" t="inlineStr">
        <is>
          <t>ÄLMHULT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46225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45303</v>
      </c>
      <c r="E575" s="1" t="n">
        <v>46225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49562-2023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46225</v>
      </c>
      <c r="F576" t="inlineStr">
        <is>
          <t>KRONOBERGS LÄN</t>
        </is>
      </c>
      <c r="G576" t="inlineStr">
        <is>
          <t>ÄLMHULT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14280-2023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45010</v>
      </c>
      <c r="E577" s="1" t="n">
        <v>46225</v>
      </c>
      <c r="F577" t="inlineStr">
        <is>
          <t>KRONOBERGS LÄN</t>
        </is>
      </c>
      <c r="G577" t="inlineStr">
        <is>
          <t>ÄLMHULT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45707</v>
      </c>
      <c r="E578" s="1" t="n">
        <v>46225</v>
      </c>
      <c r="F578" t="inlineStr">
        <is>
          <t>KRONOBERGS LÄN</t>
        </is>
      </c>
      <c r="G578" t="inlineStr">
        <is>
          <t>ÄLMHULT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49442-2024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46225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62812-2023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45271</v>
      </c>
      <c r="E580" s="1" t="n">
        <v>46225</v>
      </c>
      <c r="F580" t="inlineStr">
        <is>
          <t>KRONOBERGS LÄN</t>
        </is>
      </c>
      <c r="G580" t="inlineStr">
        <is>
          <t>ÄLMHULT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45547</v>
      </c>
      <c r="E581" s="1" t="n">
        <v>46225</v>
      </c>
      <c r="F581" t="inlineStr">
        <is>
          <t>KRONOBERGS LÄN</t>
        </is>
      </c>
      <c r="G581" t="inlineStr">
        <is>
          <t>ÄLMHULT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46225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53113-2023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45228</v>
      </c>
      <c r="E583" s="1" t="n">
        <v>46225</v>
      </c>
      <c r="F583" t="inlineStr">
        <is>
          <t>KRONOBERGS LÄN</t>
        </is>
      </c>
      <c r="G583" t="inlineStr">
        <is>
          <t>ÄLMHULT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58831-2023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46225</v>
      </c>
      <c r="F584" t="inlineStr">
        <is>
          <t>KRONOBERGS LÄN</t>
        </is>
      </c>
      <c r="G584" t="inlineStr">
        <is>
          <t>ÄLMHULT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62172-2022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44922</v>
      </c>
      <c r="E585" s="1" t="n">
        <v>46225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45680</v>
      </c>
      <c r="E586" s="1" t="n">
        <v>46225</v>
      </c>
      <c r="F586" t="inlineStr">
        <is>
          <t>KRONOBERGS LÄN</t>
        </is>
      </c>
      <c r="G586" t="inlineStr">
        <is>
          <t>ÄLMHULT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50073-2023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46225</v>
      </c>
      <c r="F587" t="inlineStr">
        <is>
          <t>KRONOBERGS LÄN</t>
        </is>
      </c>
      <c r="G587" t="inlineStr">
        <is>
          <t>ÄLMHULT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45303</v>
      </c>
      <c r="E588" s="1" t="n">
        <v>46225</v>
      </c>
      <c r="F588" t="inlineStr">
        <is>
          <t>KRONOBERGS LÄN</t>
        </is>
      </c>
      <c r="G588" t="inlineStr">
        <is>
          <t>ÄLMHULT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49575-2023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46225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48156-2024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45589</v>
      </c>
      <c r="E590" s="1" t="n">
        <v>46225</v>
      </c>
      <c r="F590" t="inlineStr">
        <is>
          <t>KRONOBERGS LÄN</t>
        </is>
      </c>
      <c r="G590" t="inlineStr">
        <is>
          <t>ÄLMHULT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45103</v>
      </c>
      <c r="E591" s="1" t="n">
        <v>46225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46225</v>
      </c>
      <c r="F592" t="inlineStr">
        <is>
          <t>KRONOBERGS LÄN</t>
        </is>
      </c>
      <c r="G592" t="inlineStr">
        <is>
          <t>ÄLMHULT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61968-2024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45653</v>
      </c>
      <c r="E593" s="1" t="n">
        <v>46225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7793-2025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45706</v>
      </c>
      <c r="E594" s="1" t="n">
        <v>46225</v>
      </c>
      <c r="F594" t="inlineStr">
        <is>
          <t>KRONOBERGS LÄN</t>
        </is>
      </c>
      <c r="G594" t="inlineStr">
        <is>
          <t>ÄLMHULT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45443</v>
      </c>
      <c r="E595" s="1" t="n">
        <v>46225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45734</v>
      </c>
      <c r="E596" s="1" t="n">
        <v>46225</v>
      </c>
      <c r="F596" t="inlineStr">
        <is>
          <t>KRONOBERGS LÄN</t>
        </is>
      </c>
      <c r="G596" t="inlineStr">
        <is>
          <t>ÄLMHULT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62122-2022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44921</v>
      </c>
      <c r="E597" s="1" t="n">
        <v>46225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45378</v>
      </c>
      <c r="E598" s="1" t="n">
        <v>46225</v>
      </c>
      <c r="F598" t="inlineStr">
        <is>
          <t>KRONOBERGS LÄN</t>
        </is>
      </c>
      <c r="G598" t="inlineStr">
        <is>
          <t>ÄLMHULT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39022-2022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44817</v>
      </c>
      <c r="E599" s="1" t="n">
        <v>46225</v>
      </c>
      <c r="F599" t="inlineStr">
        <is>
          <t>KRONOBERGS LÄN</t>
        </is>
      </c>
      <c r="G599" t="inlineStr">
        <is>
          <t>ÄLMHULT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17927-2025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45759</v>
      </c>
      <c r="E600" s="1" t="n">
        <v>46225</v>
      </c>
      <c r="F600" t="inlineStr">
        <is>
          <t>KRONOBERGS LÄN</t>
        </is>
      </c>
      <c r="G600" t="inlineStr">
        <is>
          <t>ÄLMHULT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45314</v>
      </c>
      <c r="E601" s="1" t="n">
        <v>46225</v>
      </c>
      <c r="F601" t="inlineStr">
        <is>
          <t>KRONOBERGS LÄN</t>
        </is>
      </c>
      <c r="G601" t="inlineStr">
        <is>
          <t>ÄLMHULT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48159-2024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45589</v>
      </c>
      <c r="E602" s="1" t="n">
        <v>46225</v>
      </c>
      <c r="F602" t="inlineStr">
        <is>
          <t>KRONOBERGS LÄN</t>
        </is>
      </c>
      <c r="G602" t="inlineStr">
        <is>
          <t>ÄLMHULT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43140-2024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45567</v>
      </c>
      <c r="E603" s="1" t="n">
        <v>46225</v>
      </c>
      <c r="F603" t="inlineStr">
        <is>
          <t>KRONOBERGS LÄN</t>
        </is>
      </c>
      <c r="G603" t="inlineStr">
        <is>
          <t>ÄLMHULT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46225</v>
      </c>
      <c r="F604" t="inlineStr">
        <is>
          <t>KRONOBERGS LÄN</t>
        </is>
      </c>
      <c r="G604" t="inlineStr">
        <is>
          <t>ÄLMHULT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44928</v>
      </c>
      <c r="E605" s="1" t="n">
        <v>46225</v>
      </c>
      <c r="F605" t="inlineStr">
        <is>
          <t>KRONOBERGS LÄN</t>
        </is>
      </c>
      <c r="G605" t="inlineStr">
        <is>
          <t>ÄLMHULT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45209</v>
      </c>
      <c r="E606" s="1" t="n">
        <v>46225</v>
      </c>
      <c r="F606" t="inlineStr">
        <is>
          <t>KRONOBERGS LÄN</t>
        </is>
      </c>
      <c r="G606" t="inlineStr">
        <is>
          <t>ÄLMHULT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45680</v>
      </c>
      <c r="E607" s="1" t="n">
        <v>46225</v>
      </c>
      <c r="F607" t="inlineStr">
        <is>
          <t>KRONOBERGS LÄN</t>
        </is>
      </c>
      <c r="G607" t="inlineStr">
        <is>
          <t>ÄLMHULT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45663</v>
      </c>
      <c r="E608" s="1" t="n">
        <v>46225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20840-2025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45776</v>
      </c>
      <c r="E609" s="1" t="n">
        <v>46225</v>
      </c>
      <c r="F609" t="inlineStr">
        <is>
          <t>KRONOBERGS LÄN</t>
        </is>
      </c>
      <c r="G609" t="inlineStr">
        <is>
          <t>ÄLMHULT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45781</v>
      </c>
      <c r="E610" s="1" t="n">
        <v>46225</v>
      </c>
      <c r="F610" t="inlineStr">
        <is>
          <t>KRONOBERGS LÄN</t>
        </is>
      </c>
      <c r="G610" t="inlineStr">
        <is>
          <t>ÄLMHULT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56266-2024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46225</v>
      </c>
      <c r="F611" t="inlineStr">
        <is>
          <t>KRONOBERGS LÄN</t>
        </is>
      </c>
      <c r="G611" t="inlineStr">
        <is>
          <t>ÄLMHULT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45638</v>
      </c>
      <c r="E612" s="1" t="n">
        <v>46225</v>
      </c>
      <c r="F612" t="inlineStr">
        <is>
          <t>KRONOBERGS LÄN</t>
        </is>
      </c>
      <c r="G612" t="inlineStr">
        <is>
          <t>ÄLMHULT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45407</v>
      </c>
      <c r="E613" s="1" t="n">
        <v>46225</v>
      </c>
      <c r="F613" t="inlineStr">
        <is>
          <t>KRONOBERGS LÄN</t>
        </is>
      </c>
      <c r="G613" t="inlineStr">
        <is>
          <t>ÄLMHULT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34848-2024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45527</v>
      </c>
      <c r="E614" s="1" t="n">
        <v>46225</v>
      </c>
      <c r="F614" t="inlineStr">
        <is>
          <t>KRONOBERGS LÄN</t>
        </is>
      </c>
      <c r="G614" t="inlineStr">
        <is>
          <t>ÄLMHULT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45719</v>
      </c>
      <c r="E615" s="1" t="n">
        <v>46225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46225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46225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46225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46225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46225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6219-2021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44447</v>
      </c>
      <c r="E621" s="1" t="n">
        <v>46225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46225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106-2024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45302</v>
      </c>
      <c r="E623" s="1" t="n">
        <v>46225</v>
      </c>
      <c r="F623" t="inlineStr">
        <is>
          <t>KRONOBERGS LÄN</t>
        </is>
      </c>
      <c r="G623" t="inlineStr">
        <is>
          <t>ÄLMHULT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2570-2024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45476</v>
      </c>
      <c r="E624" s="1" t="n">
        <v>46225</v>
      </c>
      <c r="F624" t="inlineStr">
        <is>
          <t>KRONOBERGS LÄN</t>
        </is>
      </c>
      <c r="G624" t="inlineStr">
        <is>
          <t>ÄLMHULT</t>
        </is>
      </c>
      <c r="I624" t="n">
        <v>27.8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5163-2024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45649</v>
      </c>
      <c r="E625" s="1" t="n">
        <v>46225</v>
      </c>
      <c r="F625" t="inlineStr">
        <is>
          <t>KRONOBERGS LÄN</t>
        </is>
      </c>
      <c r="G625" t="inlineStr">
        <is>
          <t>ÄLMHULT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45728</v>
      </c>
      <c r="E626" s="1" t="n">
        <v>46225</v>
      </c>
      <c r="F626" t="inlineStr">
        <is>
          <t>KRONOBERGS LÄN</t>
        </is>
      </c>
      <c r="G626" t="inlineStr">
        <is>
          <t>ÄLMHULT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3003-2025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45953</v>
      </c>
      <c r="E627" s="1" t="n">
        <v>46225</v>
      </c>
      <c r="F627" t="inlineStr">
        <is>
          <t>KRONOBERGS LÄN</t>
        </is>
      </c>
      <c r="G627" t="inlineStr">
        <is>
          <t>ÄLMHULT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3102-2025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45967</v>
      </c>
      <c r="E628" s="1" t="n">
        <v>46225</v>
      </c>
      <c r="F628" t="inlineStr">
        <is>
          <t>KRONOBERGS LÄN</t>
        </is>
      </c>
      <c r="G628" t="inlineStr">
        <is>
          <t>ÄLMHULT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46225</v>
      </c>
      <c r="F629" t="inlineStr">
        <is>
          <t>KRONOBERGS LÄN</t>
        </is>
      </c>
      <c r="G629" t="inlineStr">
        <is>
          <t>ÄLMHULT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46225</v>
      </c>
      <c r="F630" t="inlineStr">
        <is>
          <t>KRONOBERGS LÄN</t>
        </is>
      </c>
      <c r="G630" t="inlineStr">
        <is>
          <t>ÄLMHULT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37-2026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46029</v>
      </c>
      <c r="E631" s="1" t="n">
        <v>46225</v>
      </c>
      <c r="F631" t="inlineStr">
        <is>
          <t>KRONOBERGS LÄN</t>
        </is>
      </c>
      <c r="G631" t="inlineStr">
        <is>
          <t>ÄLMHULT</t>
        </is>
      </c>
      <c r="H631" t="inlineStr">
        <is>
          <t>Sveaskog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532-2026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46079</v>
      </c>
      <c r="E632" s="1" t="n">
        <v>46225</v>
      </c>
      <c r="F632" t="inlineStr">
        <is>
          <t>KRONOBERGS LÄN</t>
        </is>
      </c>
      <c r="G632" t="inlineStr">
        <is>
          <t>ÄLMHULT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743-2026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46094</v>
      </c>
      <c r="E633" s="1" t="n">
        <v>46225</v>
      </c>
      <c r="F633" t="inlineStr">
        <is>
          <t>KRONOBERGS LÄN</t>
        </is>
      </c>
      <c r="G633" t="inlineStr">
        <is>
          <t>ÄLMHULT</t>
        </is>
      </c>
      <c r="I633" t="n">
        <v>61.7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986-2026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46119</v>
      </c>
      <c r="E634" s="1" t="n">
        <v>46225</v>
      </c>
      <c r="F634" t="inlineStr">
        <is>
          <t>KRONOBERGS LÄN</t>
        </is>
      </c>
      <c r="G634" t="inlineStr">
        <is>
          <t>ÄLMHULT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2026-07-22T01:34:41Z</dcterms:created>
  <dcterms:modified xmlns:dcterms="http://purl.org/dc/terms/" xmlns:xsi="http://www.w3.org/2001/XMLSchema-instance" xsi:type="dcterms:W3CDTF">2026-07-22T01:34:41Z</dcterms:modified>
</cp:coreProperties>
</file>