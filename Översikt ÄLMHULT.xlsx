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46263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46263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46263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46263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46263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46263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46263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46263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46263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46263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46263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46263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46263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46263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46263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46263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18943-2026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46129</v>
      </c>
      <c r="E28" s="1" t="n">
        <v>46263</v>
      </c>
      <c r="F28" t="inlineStr">
        <is>
          <t>KRONOBERGS LÄN</t>
        </is>
      </c>
      <c r="G28" t="inlineStr">
        <is>
          <t>ÄLMHULT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HYPERLINK("https://klasma.github.io/Logging_0765/artfynd/A 18943-2026 artfynd.xlsx", "A 18943-2026")</f>
        <v/>
      </c>
      <c r="X28">
        <f>HYPERLINK("https://klasma.github.io/Logging_0765/kartor/A 18943-2026 karta.png", "A 18943-2026")</f>
        <v/>
      </c>
      <c r="Y28">
        <f>HYPERLINK("https://klasma.github.io/Logging_0765/kartor_geotiff/A 18943-2026 georefererad karta.tif", "A 18943-2026")</f>
        <v/>
      </c>
      <c r="AA28">
        <f>HYPERLINK("https://klasma.github.io/Logging_0765/klagomål/A 18943-2026 FSC-klagomål.docx", "A 18943-2026")</f>
        <v/>
      </c>
      <c r="AB28">
        <f>HYPERLINK("https://klasma.github.io/Logging_0765/klagomålsmail/A 18943-2026 FSC-klagomål mail.docx", "A 18943-2026")</f>
        <v/>
      </c>
      <c r="AC28">
        <f>HYPERLINK("https://klasma.github.io/Logging_0765/tillsyn/A 18943-2026 tillsynsbegäran.docx", "A 18943-2026")</f>
        <v/>
      </c>
      <c r="AD28">
        <f>HYPERLINK("https://klasma.github.io/Logging_0765/tillsynsmail/A 18943-2026 tillsynsbegäran mail.docx", "A 18943-2026")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46263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19196-2025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46263</v>
      </c>
      <c r="F30" t="inlineStr">
        <is>
          <t>KRONOBERGS LÄN</t>
        </is>
      </c>
      <c r="G30" t="inlineStr">
        <is>
          <t>ÄLMHULT</t>
        </is>
      </c>
      <c r="I30" t="n">
        <v>26.2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HYPERLINK("https://klasma.github.io/Logging_0765/artfynd/A 19196-2025 artfynd.xlsx", "A 19196-2025")</f>
        <v/>
      </c>
      <c r="X30">
        <f>HYPERLINK("https://klasma.github.io/Logging_0765/kartor/A 19196-2025 karta.png", "A 19196-2025")</f>
        <v/>
      </c>
      <c r="Y30">
        <f>HYPERLINK("https://klasma.github.io/Logging_0765/kartor_geotiff/A 19196-2025 georefererad karta.tif", "A 19196-2025")</f>
        <v/>
      </c>
      <c r="AA30">
        <f>HYPERLINK("https://klasma.github.io/Logging_0765/klagomål/A 19196-2025 FSC-klagomål.docx", "A 19196-2025")</f>
        <v/>
      </c>
      <c r="AB30">
        <f>HYPERLINK("https://klasma.github.io/Logging_0765/klagomålsmail/A 19196-2025 FSC-klagomål mail.docx", "A 19196-2025")</f>
        <v/>
      </c>
      <c r="AC30">
        <f>HYPERLINK("https://klasma.github.io/Logging_0765/tillsyn/A 19196-2025 tillsynsbegäran.docx", "A 19196-2025")</f>
        <v/>
      </c>
      <c r="AD30">
        <f>HYPERLINK("https://klasma.github.io/Logging_0765/tillsynsmail/A 19196-2025 tillsynsbegäran mail.docx", "A 19196-2025")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46263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46263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46263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46263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46263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46263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46263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46263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46263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46263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46263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46263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46263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46263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46263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46263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46263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46263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46263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46263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46263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46263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46263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46263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46263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46263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46263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46263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46263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46263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46263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46263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46263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46263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46263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46263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46263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46263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46263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46263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46263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46263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46263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46263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46263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46263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46263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46263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46263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46263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46263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46263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46263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46263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25812-2022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44733</v>
      </c>
      <c r="E85" s="1" t="n">
        <v>46263</v>
      </c>
      <c r="F85" t="inlineStr">
        <is>
          <t>KRONOBERGS LÄN</t>
        </is>
      </c>
      <c r="G85" t="inlineStr">
        <is>
          <t>ÄLMHULT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46263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46263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46263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46263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46263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46263</v>
      </c>
      <c r="F91" t="inlineStr">
        <is>
          <t>KRONOBERGS LÄN</t>
        </is>
      </c>
      <c r="G91" t="inlineStr">
        <is>
          <t>ÄLMHULT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46263</v>
      </c>
      <c r="F92" t="inlineStr">
        <is>
          <t>KRONOBERGS LÄN</t>
        </is>
      </c>
      <c r="G92" t="inlineStr">
        <is>
          <t>ÄLMHULT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46263</v>
      </c>
      <c r="F93" t="inlineStr">
        <is>
          <t>KRONOBERGS LÄN</t>
        </is>
      </c>
      <c r="G93" t="inlineStr">
        <is>
          <t>ÄLMHULT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46263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46263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46263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46263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46263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46263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46263</v>
      </c>
      <c r="F100" t="inlineStr">
        <is>
          <t>KRONOBERGS LÄN</t>
        </is>
      </c>
      <c r="G100" t="inlineStr">
        <is>
          <t>ÄLMHULT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46263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46263</v>
      </c>
      <c r="F102" t="inlineStr">
        <is>
          <t>KRONOBERGS LÄN</t>
        </is>
      </c>
      <c r="G102" t="inlineStr">
        <is>
          <t>ÄLMHULT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46263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46263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46263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46263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46263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46263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46263</v>
      </c>
      <c r="F109" t="inlineStr">
        <is>
          <t>KRONOBERGS LÄN</t>
        </is>
      </c>
      <c r="G109" t="inlineStr">
        <is>
          <t>ÄLMHULT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46263</v>
      </c>
      <c r="F110" t="inlineStr">
        <is>
          <t>KRONOBERGS LÄN</t>
        </is>
      </c>
      <c r="G110" t="inlineStr">
        <is>
          <t>ÄLMHULT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46263</v>
      </c>
      <c r="F111" t="inlineStr">
        <is>
          <t>KRONOBERGS LÄN</t>
        </is>
      </c>
      <c r="G111" t="inlineStr">
        <is>
          <t>ÄLMHULT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45497</v>
      </c>
      <c r="E112" s="1" t="n">
        <v>46263</v>
      </c>
      <c r="F112" t="inlineStr">
        <is>
          <t>KRONOBERGS LÄN</t>
        </is>
      </c>
      <c r="G112" t="inlineStr">
        <is>
          <t>ÄLMHULT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46263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46263</v>
      </c>
      <c r="F114" t="inlineStr">
        <is>
          <t>KRONOBERGS LÄN</t>
        </is>
      </c>
      <c r="G114" t="inlineStr">
        <is>
          <t>ÄLMHULT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46263</v>
      </c>
      <c r="F115" t="inlineStr">
        <is>
          <t>KRONOBERGS LÄN</t>
        </is>
      </c>
      <c r="G115" t="inlineStr">
        <is>
          <t>ÄLMHULT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46263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46263</v>
      </c>
      <c r="F117" t="inlineStr">
        <is>
          <t>KRONOBERGS LÄN</t>
        </is>
      </c>
      <c r="G117" t="inlineStr">
        <is>
          <t>ÄLMHULT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46263</v>
      </c>
      <c r="F118" t="inlineStr">
        <is>
          <t>KRONOBERGS LÄN</t>
        </is>
      </c>
      <c r="G118" t="inlineStr">
        <is>
          <t>ÄLMHULT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46263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46263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46263</v>
      </c>
      <c r="F121" t="inlineStr">
        <is>
          <t>KRONOBERGS LÄN</t>
        </is>
      </c>
      <c r="G121" t="inlineStr">
        <is>
          <t>ÄLMHULT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46263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46263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46263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45781</v>
      </c>
      <c r="E125" s="1" t="n">
        <v>46263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46263</v>
      </c>
      <c r="F126" t="inlineStr">
        <is>
          <t>KRONOBERGS LÄN</t>
        </is>
      </c>
      <c r="G126" t="inlineStr">
        <is>
          <t>ÄLMHULT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46263</v>
      </c>
      <c r="F127" t="inlineStr">
        <is>
          <t>KRONOBERGS LÄN</t>
        </is>
      </c>
      <c r="G127" t="inlineStr">
        <is>
          <t>ÄLMHULT</t>
        </is>
      </c>
      <c r="H127" t="inlineStr">
        <is>
          <t>Sveaskog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46263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46263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46263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45959</v>
      </c>
      <c r="E131" s="1" t="n">
        <v>46263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46263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46263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46263</v>
      </c>
      <c r="F134" t="inlineStr">
        <is>
          <t>KRONOBERGS LÄN</t>
        </is>
      </c>
      <c r="G134" t="inlineStr">
        <is>
          <t>ÄLMHULT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46263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46263</v>
      </c>
      <c r="F136" t="inlineStr">
        <is>
          <t>KRONOBERGS LÄN</t>
        </is>
      </c>
      <c r="G136" t="inlineStr">
        <is>
          <t>ÄLMHULT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46263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46263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46263</v>
      </c>
      <c r="F139" t="inlineStr">
        <is>
          <t>KRONOBERGS LÄN</t>
        </is>
      </c>
      <c r="G139" t="inlineStr">
        <is>
          <t>ÄLMHULT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46263</v>
      </c>
      <c r="F140" t="inlineStr">
        <is>
          <t>KRONOBERGS LÄN</t>
        </is>
      </c>
      <c r="G140" t="inlineStr">
        <is>
          <t>ÄLMHULT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46263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46263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46263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46263</v>
      </c>
      <c r="F144" t="inlineStr">
        <is>
          <t>KRONOBERGS LÄN</t>
        </is>
      </c>
      <c r="G144" t="inlineStr">
        <is>
          <t>ÄLMHULT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46263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46263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46263</v>
      </c>
      <c r="F147" t="inlineStr">
        <is>
          <t>KRONOBERGS LÄN</t>
        </is>
      </c>
      <c r="G147" t="inlineStr">
        <is>
          <t>ÄLMHULT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46263</v>
      </c>
      <c r="F148" t="inlineStr">
        <is>
          <t>KRONOBERGS LÄN</t>
        </is>
      </c>
      <c r="G148" t="inlineStr">
        <is>
          <t>ÄLMHULT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46263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46263</v>
      </c>
      <c r="F150" t="inlineStr">
        <is>
          <t>KRONOBERGS LÄN</t>
        </is>
      </c>
      <c r="G150" t="inlineStr">
        <is>
          <t>ÄLMHULT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45309</v>
      </c>
      <c r="E151" s="1" t="n">
        <v>46263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46263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42780-2023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45181</v>
      </c>
      <c r="E153" s="1" t="n">
        <v>46263</v>
      </c>
      <c r="F153" t="inlineStr">
        <is>
          <t>KRONOBERGS LÄN</t>
        </is>
      </c>
      <c r="G153" t="inlineStr">
        <is>
          <t>ÄLMHULT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46263</v>
      </c>
      <c r="F154" t="inlineStr">
        <is>
          <t>KRONOBERGS LÄN</t>
        </is>
      </c>
      <c r="G154" t="inlineStr">
        <is>
          <t>ÄLMHULT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44449</v>
      </c>
      <c r="E155" s="1" t="n">
        <v>46263</v>
      </c>
      <c r="F155" t="inlineStr">
        <is>
          <t>KRONOBERGS LÄN</t>
        </is>
      </c>
      <c r="G155" t="inlineStr">
        <is>
          <t>ÄLMHULT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46263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44962</v>
      </c>
      <c r="E157" s="1" t="n">
        <v>46263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46263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46263</v>
      </c>
      <c r="F159" t="inlineStr">
        <is>
          <t>KRONOBERGS LÄN</t>
        </is>
      </c>
      <c r="G159" t="inlineStr">
        <is>
          <t>ÄLMHULT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45457</v>
      </c>
      <c r="E160" s="1" t="n">
        <v>46263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46263</v>
      </c>
      <c r="F161" t="inlineStr">
        <is>
          <t>KRONOBERGS LÄN</t>
        </is>
      </c>
      <c r="G161" t="inlineStr">
        <is>
          <t>ÄLMHULT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46263</v>
      </c>
      <c r="F162" t="inlineStr">
        <is>
          <t>KRONOBERGS LÄN</t>
        </is>
      </c>
      <c r="G162" t="inlineStr">
        <is>
          <t>ÄLMHULT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45969</v>
      </c>
      <c r="E163" s="1" t="n">
        <v>46263</v>
      </c>
      <c r="F163" t="inlineStr">
        <is>
          <t>KRONOBERGS LÄN</t>
        </is>
      </c>
      <c r="G163" t="inlineStr">
        <is>
          <t>ÄLMHULT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45969</v>
      </c>
      <c r="E164" s="1" t="n">
        <v>46263</v>
      </c>
      <c r="F164" t="inlineStr">
        <is>
          <t>KRONOBERGS LÄN</t>
        </is>
      </c>
      <c r="G164" t="inlineStr">
        <is>
          <t>ÄLMHULT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46263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46263</v>
      </c>
      <c r="F166" t="inlineStr">
        <is>
          <t>KRONOBERGS LÄN</t>
        </is>
      </c>
      <c r="G166" t="inlineStr">
        <is>
          <t>ÄLMHULT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44582</v>
      </c>
      <c r="E167" s="1" t="n">
        <v>46263</v>
      </c>
      <c r="F167" t="inlineStr">
        <is>
          <t>KRONOBERGS LÄN</t>
        </is>
      </c>
      <c r="G167" t="inlineStr">
        <is>
          <t>ÄLMHULT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46263</v>
      </c>
      <c r="F168" t="inlineStr">
        <is>
          <t>KRONOBERGS LÄN</t>
        </is>
      </c>
      <c r="G168" t="inlineStr">
        <is>
          <t>ÄLMHULT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46263</v>
      </c>
      <c r="F169" t="inlineStr">
        <is>
          <t>KRONOBERGS LÄN</t>
        </is>
      </c>
      <c r="G169" t="inlineStr">
        <is>
          <t>ÄLMHULT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46263</v>
      </c>
      <c r="F170" t="inlineStr">
        <is>
          <t>KRONOBERGS LÄN</t>
        </is>
      </c>
      <c r="G170" t="inlineStr">
        <is>
          <t>ÄLMHULT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72469-2021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46263</v>
      </c>
      <c r="F171" t="inlineStr">
        <is>
          <t>KRONOBERGS LÄN</t>
        </is>
      </c>
      <c r="G171" t="inlineStr">
        <is>
          <t>ÄLMHULT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46263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46263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46263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46263</v>
      </c>
      <c r="F175" t="inlineStr">
        <is>
          <t>KRONOBERGS LÄN</t>
        </is>
      </c>
      <c r="G175" t="inlineStr">
        <is>
          <t>ÄLMHULT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44930</v>
      </c>
      <c r="E176" s="1" t="n">
        <v>46263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46263</v>
      </c>
      <c r="F177" t="inlineStr">
        <is>
          <t>KRONOBERGS LÄN</t>
        </is>
      </c>
      <c r="G177" t="inlineStr">
        <is>
          <t>ÄLMHULT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46263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45373</v>
      </c>
      <c r="E179" s="1" t="n">
        <v>46263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46263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46263</v>
      </c>
      <c r="F181" t="inlineStr">
        <is>
          <t>KRONOBERGS LÄN</t>
        </is>
      </c>
      <c r="G181" t="inlineStr">
        <is>
          <t>ÄLMHULT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46263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46263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46263</v>
      </c>
      <c r="F184" t="inlineStr">
        <is>
          <t>KRONOBERGS LÄN</t>
        </is>
      </c>
      <c r="G184" t="inlineStr">
        <is>
          <t>ÄLMHULT</t>
        </is>
      </c>
      <c r="I184" t="n">
        <v>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46263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46263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46263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46263</v>
      </c>
      <c r="F188" t="inlineStr">
        <is>
          <t>KRONOBERGS LÄN</t>
        </is>
      </c>
      <c r="G188" t="inlineStr">
        <is>
          <t>ÄLMHULT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46263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46263</v>
      </c>
      <c r="F190" t="inlineStr">
        <is>
          <t>KRONOBERGS LÄN</t>
        </is>
      </c>
      <c r="G190" t="inlineStr">
        <is>
          <t>ÄLMHULT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46263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46263</v>
      </c>
      <c r="F192" t="inlineStr">
        <is>
          <t>KRONOBERGS LÄN</t>
        </is>
      </c>
      <c r="G192" t="inlineStr">
        <is>
          <t>ÄLMHULT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45538</v>
      </c>
      <c r="E193" s="1" t="n">
        <v>46263</v>
      </c>
      <c r="F193" t="inlineStr">
        <is>
          <t>KRONOBERGS LÄN</t>
        </is>
      </c>
      <c r="G193" t="inlineStr">
        <is>
          <t>ÄLMHULT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46263</v>
      </c>
      <c r="F194" t="inlineStr">
        <is>
          <t>KRONOBERGS LÄN</t>
        </is>
      </c>
      <c r="G194" t="inlineStr">
        <is>
          <t>ÄLMHULT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46263</v>
      </c>
      <c r="F195" t="inlineStr">
        <is>
          <t>KRONOBERGS LÄN</t>
        </is>
      </c>
      <c r="G195" t="inlineStr">
        <is>
          <t>ÄLMHULT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46263</v>
      </c>
      <c r="F196" t="inlineStr">
        <is>
          <t>KRONOBERGS LÄN</t>
        </is>
      </c>
      <c r="G196" t="inlineStr">
        <is>
          <t>ÄLMHULT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46263</v>
      </c>
      <c r="F197" t="inlineStr">
        <is>
          <t>KRONOBERGS LÄN</t>
        </is>
      </c>
      <c r="G197" t="inlineStr">
        <is>
          <t>ÄLMHULT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46263</v>
      </c>
      <c r="F198" t="inlineStr">
        <is>
          <t>KRONOBERGS LÄN</t>
        </is>
      </c>
      <c r="G198" t="inlineStr">
        <is>
          <t>ÄLMHULT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46263</v>
      </c>
      <c r="F199" t="inlineStr">
        <is>
          <t>KRONOBERGS LÄN</t>
        </is>
      </c>
      <c r="G199" t="inlineStr">
        <is>
          <t>ÄLMHULT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64618-2021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44511</v>
      </c>
      <c r="E200" s="1" t="n">
        <v>46263</v>
      </c>
      <c r="F200" t="inlineStr">
        <is>
          <t>KRONOBERGS LÄN</t>
        </is>
      </c>
      <c r="G200" t="inlineStr">
        <is>
          <t>ÄLMHULT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64624-2021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44511</v>
      </c>
      <c r="E201" s="1" t="n">
        <v>46263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46263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45175</v>
      </c>
      <c r="E203" s="1" t="n">
        <v>46263</v>
      </c>
      <c r="F203" t="inlineStr">
        <is>
          <t>KRONOBERGS LÄN</t>
        </is>
      </c>
      <c r="G203" t="inlineStr">
        <is>
          <t>ÄLMHULT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46263</v>
      </c>
      <c r="F204" t="inlineStr">
        <is>
          <t>KRONOBERGS LÄN</t>
        </is>
      </c>
      <c r="G204" t="inlineStr">
        <is>
          <t>ÄLMHULT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46263</v>
      </c>
      <c r="F205" t="inlineStr">
        <is>
          <t>KRONOBERGS LÄN</t>
        </is>
      </c>
      <c r="G205" t="inlineStr">
        <is>
          <t>ÄLMHULT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46263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46263</v>
      </c>
      <c r="F207" t="inlineStr">
        <is>
          <t>KRONOBERGS LÄN</t>
        </is>
      </c>
      <c r="G207" t="inlineStr">
        <is>
          <t>ÄLMHULT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45574</v>
      </c>
      <c r="E208" s="1" t="n">
        <v>46263</v>
      </c>
      <c r="F208" t="inlineStr">
        <is>
          <t>KRONOBERGS LÄN</t>
        </is>
      </c>
      <c r="G208" t="inlineStr">
        <is>
          <t>ÄLMHULT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46263</v>
      </c>
      <c r="F209" t="inlineStr">
        <is>
          <t>KRONOBERGS LÄN</t>
        </is>
      </c>
      <c r="G209" t="inlineStr">
        <is>
          <t>ÄLMHULT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46263</v>
      </c>
      <c r="F210" t="inlineStr">
        <is>
          <t>KRONOBERGS LÄN</t>
        </is>
      </c>
      <c r="G210" t="inlineStr">
        <is>
          <t>ÄLMHULT</t>
        </is>
      </c>
      <c r="H210" t="inlineStr">
        <is>
          <t>Kyrkan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46263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46263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46263</v>
      </c>
      <c r="F213" t="inlineStr">
        <is>
          <t>KRONOBERGS LÄN</t>
        </is>
      </c>
      <c r="G213" t="inlineStr">
        <is>
          <t>ÄLMHULT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46263</v>
      </c>
      <c r="F214" t="inlineStr">
        <is>
          <t>KRONOBERGS LÄN</t>
        </is>
      </c>
      <c r="G214" t="inlineStr">
        <is>
          <t>ÄLMHULT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46263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46263</v>
      </c>
      <c r="F216" t="inlineStr">
        <is>
          <t>KRONOBERGS LÄN</t>
        </is>
      </c>
      <c r="G216" t="inlineStr">
        <is>
          <t>ÄLMHULT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46263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45612</v>
      </c>
      <c r="E218" s="1" t="n">
        <v>46263</v>
      </c>
      <c r="F218" t="inlineStr">
        <is>
          <t>KRONOBERGS LÄN</t>
        </is>
      </c>
      <c r="G218" t="inlineStr">
        <is>
          <t>ÄLMHULT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59803-2025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45992</v>
      </c>
      <c r="E219" s="1" t="n">
        <v>46263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59780-2025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45992</v>
      </c>
      <c r="E220" s="1" t="n">
        <v>46263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59771-2025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45992</v>
      </c>
      <c r="E221" s="1" t="n">
        <v>46263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46263</v>
      </c>
      <c r="F222" t="inlineStr">
        <is>
          <t>KRONOBERGS LÄN</t>
        </is>
      </c>
      <c r="G222" t="inlineStr">
        <is>
          <t>ÄLMHULT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46263</v>
      </c>
      <c r="F223" t="inlineStr">
        <is>
          <t>KRONOBERGS LÄN</t>
        </is>
      </c>
      <c r="G223" t="inlineStr">
        <is>
          <t>ÄLMHULT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46263</v>
      </c>
      <c r="F224" t="inlineStr">
        <is>
          <t>KRONOBERGS LÄN</t>
        </is>
      </c>
      <c r="G224" t="inlineStr">
        <is>
          <t>ÄLMHULT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46263</v>
      </c>
      <c r="F225" t="inlineStr">
        <is>
          <t>KRONOBERGS LÄN</t>
        </is>
      </c>
      <c r="G225" t="inlineStr">
        <is>
          <t>ÄLMHULT</t>
        </is>
      </c>
      <c r="H225" t="inlineStr">
        <is>
          <t>Kommuner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45543</v>
      </c>
      <c r="E226" s="1" t="n">
        <v>46263</v>
      </c>
      <c r="F226" t="inlineStr">
        <is>
          <t>KRONOBERGS LÄN</t>
        </is>
      </c>
      <c r="G226" t="inlineStr">
        <is>
          <t>ÄLMHULT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46263</v>
      </c>
      <c r="F227" t="inlineStr">
        <is>
          <t>KRONOBERGS LÄN</t>
        </is>
      </c>
      <c r="G227" t="inlineStr">
        <is>
          <t>ÄLMHULT</t>
        </is>
      </c>
      <c r="H227" t="inlineStr">
        <is>
          <t>Kommuner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46263</v>
      </c>
      <c r="F228" t="inlineStr">
        <is>
          <t>KRONOBERGS LÄN</t>
        </is>
      </c>
      <c r="G228" t="inlineStr">
        <is>
          <t>ÄLMHULT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45513</v>
      </c>
      <c r="E229" s="1" t="n">
        <v>46263</v>
      </c>
      <c r="F229" t="inlineStr">
        <is>
          <t>KRONOBERGS LÄN</t>
        </is>
      </c>
      <c r="G229" t="inlineStr">
        <is>
          <t>ÄLMHULT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46263</v>
      </c>
      <c r="F230" t="inlineStr">
        <is>
          <t>KRONOBERGS LÄN</t>
        </is>
      </c>
      <c r="G230" t="inlineStr">
        <is>
          <t>ÄLMHULT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46263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46263</v>
      </c>
      <c r="F232" t="inlineStr">
        <is>
          <t>KRONOBERGS LÄN</t>
        </is>
      </c>
      <c r="G232" t="inlineStr">
        <is>
          <t>ÄLMHULT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46263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45564</v>
      </c>
      <c r="E234" s="1" t="n">
        <v>46263</v>
      </c>
      <c r="F234" t="inlineStr">
        <is>
          <t>KRONOBERGS LÄN</t>
        </is>
      </c>
      <c r="G234" t="inlineStr">
        <is>
          <t>ÄLMHULT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46263</v>
      </c>
      <c r="F235" t="inlineStr">
        <is>
          <t>KRONOBERGS LÄN</t>
        </is>
      </c>
      <c r="G235" t="inlineStr">
        <is>
          <t>ÄLMHULT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46263</v>
      </c>
      <c r="F236" t="inlineStr">
        <is>
          <t>KRONOBERGS LÄN</t>
        </is>
      </c>
      <c r="G236" t="inlineStr">
        <is>
          <t>ÄLMHULT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46263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46263</v>
      </c>
      <c r="F238" t="inlineStr">
        <is>
          <t>KRONOBERGS LÄN</t>
        </is>
      </c>
      <c r="G238" t="inlineStr">
        <is>
          <t>ÄLMHULT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46263</v>
      </c>
      <c r="F239" t="inlineStr">
        <is>
          <t>KRONOBERGS LÄN</t>
        </is>
      </c>
      <c r="G239" t="inlineStr">
        <is>
          <t>ÄLMHULT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46005</v>
      </c>
      <c r="E240" s="1" t="n">
        <v>46263</v>
      </c>
      <c r="F240" t="inlineStr">
        <is>
          <t>KRONOBERGS LÄN</t>
        </is>
      </c>
      <c r="G240" t="inlineStr">
        <is>
          <t>ÄLMHULT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46263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12718-2022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44641</v>
      </c>
      <c r="E242" s="1" t="n">
        <v>46263</v>
      </c>
      <c r="F242" t="inlineStr">
        <is>
          <t>KRONOBERGS LÄN</t>
        </is>
      </c>
      <c r="G242" t="inlineStr">
        <is>
          <t>ÄLMHULT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45839</v>
      </c>
      <c r="E243" s="1" t="n">
        <v>46263</v>
      </c>
      <c r="F243" t="inlineStr">
        <is>
          <t>KRONOBERGS LÄN</t>
        </is>
      </c>
      <c r="G243" t="inlineStr">
        <is>
          <t>ÄLMHULT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22415-2024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45446</v>
      </c>
      <c r="E244" s="1" t="n">
        <v>46263</v>
      </c>
      <c r="F244" t="inlineStr">
        <is>
          <t>KRONOBERGS LÄN</t>
        </is>
      </c>
      <c r="G244" t="inlineStr">
        <is>
          <t>ÄLMHULT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45842</v>
      </c>
      <c r="E245" s="1" t="n">
        <v>46263</v>
      </c>
      <c r="F245" t="inlineStr">
        <is>
          <t>KRONOBERGS LÄN</t>
        </is>
      </c>
      <c r="G245" t="inlineStr">
        <is>
          <t>ÄLMHULT</t>
        </is>
      </c>
      <c r="I245" t="n">
        <v>14.1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45842</v>
      </c>
      <c r="E246" s="1" t="n">
        <v>46263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45842</v>
      </c>
      <c r="E247" s="1" t="n">
        <v>46263</v>
      </c>
      <c r="F247" t="inlineStr">
        <is>
          <t>KRONOBERGS LÄN</t>
        </is>
      </c>
      <c r="G247" t="inlineStr">
        <is>
          <t>ÄLMHULT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46263</v>
      </c>
      <c r="F248" t="inlineStr">
        <is>
          <t>KRONOBERGS LÄN</t>
        </is>
      </c>
      <c r="G248" t="inlineStr">
        <is>
          <t>ÄLMHULT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45529</v>
      </c>
      <c r="E249" s="1" t="n">
        <v>46263</v>
      </c>
      <c r="F249" t="inlineStr">
        <is>
          <t>KRONOBERGS LÄN</t>
        </is>
      </c>
      <c r="G249" t="inlineStr">
        <is>
          <t>ÄLMHULT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46263</v>
      </c>
      <c r="F250" t="inlineStr">
        <is>
          <t>KRONOBERGS LÄN</t>
        </is>
      </c>
      <c r="G250" t="inlineStr">
        <is>
          <t>ÄLMHULT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46263</v>
      </c>
      <c r="F251" t="inlineStr">
        <is>
          <t>KRONOBERGS LÄN</t>
        </is>
      </c>
      <c r="G251" t="inlineStr">
        <is>
          <t>ÄLMHULT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46263</v>
      </c>
      <c r="F252" t="inlineStr">
        <is>
          <t>KRONOBERGS LÄN</t>
        </is>
      </c>
      <c r="G252" t="inlineStr">
        <is>
          <t>ÄLMHULT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46263</v>
      </c>
      <c r="F253" t="inlineStr">
        <is>
          <t>KRONOBERGS LÄN</t>
        </is>
      </c>
      <c r="G253" t="inlineStr">
        <is>
          <t>ÄLMHULT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45588</v>
      </c>
      <c r="E254" s="1" t="n">
        <v>46263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45462</v>
      </c>
      <c r="E255" s="1" t="n">
        <v>46263</v>
      </c>
      <c r="F255" t="inlineStr">
        <is>
          <t>KRONOBERGS LÄN</t>
        </is>
      </c>
      <c r="G255" t="inlineStr">
        <is>
          <t>ÄLMHULT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46263</v>
      </c>
      <c r="F256" t="inlineStr">
        <is>
          <t>KRONOBERGS LÄN</t>
        </is>
      </c>
      <c r="G256" t="inlineStr">
        <is>
          <t>ÄLMHULT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46263</v>
      </c>
      <c r="F257" t="inlineStr">
        <is>
          <t>KRONOBERGS LÄN</t>
        </is>
      </c>
      <c r="G257" t="inlineStr">
        <is>
          <t>ÄLMHULT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46263</v>
      </c>
      <c r="F258" t="inlineStr">
        <is>
          <t>KRONOBERGS LÄN</t>
        </is>
      </c>
      <c r="G258" t="inlineStr">
        <is>
          <t>ÄLMHULT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45854</v>
      </c>
      <c r="E259" s="1" t="n">
        <v>46263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46263</v>
      </c>
      <c r="F260" t="inlineStr">
        <is>
          <t>KRONOBERGS LÄN</t>
        </is>
      </c>
      <c r="G260" t="inlineStr">
        <is>
          <t>ÄLMHULT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46263</v>
      </c>
      <c r="F261" t="inlineStr">
        <is>
          <t>KRONOBERGS LÄN</t>
        </is>
      </c>
      <c r="G261" t="inlineStr">
        <is>
          <t>ÄLMHULT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45581</v>
      </c>
      <c r="E262" s="1" t="n">
        <v>46263</v>
      </c>
      <c r="F262" t="inlineStr">
        <is>
          <t>KRONOBERGS LÄN</t>
        </is>
      </c>
      <c r="G262" t="inlineStr">
        <is>
          <t>ÄLMHULT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46263</v>
      </c>
      <c r="F263" t="inlineStr">
        <is>
          <t>KRONOBERGS LÄN</t>
        </is>
      </c>
      <c r="G263" t="inlineStr">
        <is>
          <t>ÄLMHULT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46263</v>
      </c>
      <c r="F264" t="inlineStr">
        <is>
          <t>KRONOBERGS LÄN</t>
        </is>
      </c>
      <c r="G264" t="inlineStr">
        <is>
          <t>ÄLMHULT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46263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45578</v>
      </c>
      <c r="E266" s="1" t="n">
        <v>46263</v>
      </c>
      <c r="F266" t="inlineStr">
        <is>
          <t>KRONOBERGS LÄN</t>
        </is>
      </c>
      <c r="G266" t="inlineStr">
        <is>
          <t>ÄLMHULT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46263</v>
      </c>
      <c r="F267" t="inlineStr">
        <is>
          <t>KRONOBERGS LÄN</t>
        </is>
      </c>
      <c r="G267" t="inlineStr">
        <is>
          <t>ÄLMHULT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45631</v>
      </c>
      <c r="E268" s="1" t="n">
        <v>46263</v>
      </c>
      <c r="F268" t="inlineStr">
        <is>
          <t>KRONOBERGS LÄN</t>
        </is>
      </c>
      <c r="G268" t="inlineStr">
        <is>
          <t>ÄLMHULT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45726</v>
      </c>
      <c r="E269" s="1" t="n">
        <v>46263</v>
      </c>
      <c r="F269" t="inlineStr">
        <is>
          <t>KRONOBERGS LÄN</t>
        </is>
      </c>
      <c r="G269" t="inlineStr">
        <is>
          <t>ÄLMHULT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45867</v>
      </c>
      <c r="E270" s="1" t="n">
        <v>46263</v>
      </c>
      <c r="F270" t="inlineStr">
        <is>
          <t>KRONOBERGS LÄN</t>
        </is>
      </c>
      <c r="G270" t="inlineStr">
        <is>
          <t>ÄLMHULT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46263</v>
      </c>
      <c r="F271" t="inlineStr">
        <is>
          <t>KRONOBERGS LÄN</t>
        </is>
      </c>
      <c r="G271" t="inlineStr">
        <is>
          <t>ÄLMHULT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46263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46263</v>
      </c>
      <c r="F273" t="inlineStr">
        <is>
          <t>KRONOBERGS LÄN</t>
        </is>
      </c>
      <c r="G273" t="inlineStr">
        <is>
          <t>ÄLMHULT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28026-2024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45476</v>
      </c>
      <c r="E274" s="1" t="n">
        <v>46263</v>
      </c>
      <c r="F274" t="inlineStr">
        <is>
          <t>KRONOBERGS LÄN</t>
        </is>
      </c>
      <c r="G274" t="inlineStr">
        <is>
          <t>ÄLMHULT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45145</v>
      </c>
      <c r="E275" s="1" t="n">
        <v>46263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45680</v>
      </c>
      <c r="E276" s="1" t="n">
        <v>46263</v>
      </c>
      <c r="F276" t="inlineStr">
        <is>
          <t>KRONOBERGS LÄN</t>
        </is>
      </c>
      <c r="G276" t="inlineStr">
        <is>
          <t>ÄLMHULT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64999-2023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45286</v>
      </c>
      <c r="E277" s="1" t="n">
        <v>46263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46263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45078</v>
      </c>
      <c r="E279" s="1" t="n">
        <v>46263</v>
      </c>
      <c r="F279" t="inlineStr">
        <is>
          <t>KRONOBERGS LÄN</t>
        </is>
      </c>
      <c r="G279" t="inlineStr">
        <is>
          <t>ÄLMHULT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46263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46263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19722-2023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45051</v>
      </c>
      <c r="E282" s="1" t="n">
        <v>46263</v>
      </c>
      <c r="F282" t="inlineStr">
        <is>
          <t>KRONOBERGS LÄN</t>
        </is>
      </c>
      <c r="G282" t="inlineStr">
        <is>
          <t>ÄLMHULT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36815-2023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46263</v>
      </c>
      <c r="F283" t="inlineStr">
        <is>
          <t>KRONOBERGS LÄN</t>
        </is>
      </c>
      <c r="G283" t="inlineStr">
        <is>
          <t>ÄLMHULT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46263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46263</v>
      </c>
      <c r="F285" t="inlineStr">
        <is>
          <t>KRONOBERGS LÄN</t>
        </is>
      </c>
      <c r="G285" t="inlineStr">
        <is>
          <t>ÄLMHULT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68212-2021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44526</v>
      </c>
      <c r="E286" s="1" t="n">
        <v>46263</v>
      </c>
      <c r="F286" t="inlineStr">
        <is>
          <t>KRONOBERGS LÄN</t>
        </is>
      </c>
      <c r="G286" t="inlineStr">
        <is>
          <t>ÄLMHULT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46263</v>
      </c>
      <c r="F287" t="inlineStr">
        <is>
          <t>KRONOBERGS LÄN</t>
        </is>
      </c>
      <c r="G287" t="inlineStr">
        <is>
          <t>ÄLMHULT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46263</v>
      </c>
      <c r="F288" t="inlineStr">
        <is>
          <t>KRONOBERGS LÄN</t>
        </is>
      </c>
      <c r="G288" t="inlineStr">
        <is>
          <t>ÄLMHULT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44826</v>
      </c>
      <c r="E289" s="1" t="n">
        <v>46263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46263</v>
      </c>
      <c r="F290" t="inlineStr">
        <is>
          <t>KRONOBERGS LÄN</t>
        </is>
      </c>
      <c r="G290" t="inlineStr">
        <is>
          <t>ÄLMHULT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60621-2021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44496</v>
      </c>
      <c r="E291" s="1" t="n">
        <v>46263</v>
      </c>
      <c r="F291" t="inlineStr">
        <is>
          <t>KRONOBERGS LÄN</t>
        </is>
      </c>
      <c r="G291" t="inlineStr">
        <is>
          <t>ÄLMHULT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46263</v>
      </c>
      <c r="F292" t="inlineStr">
        <is>
          <t>KRONOBERGS LÄN</t>
        </is>
      </c>
      <c r="G292" t="inlineStr">
        <is>
          <t>ÄLMHULT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27334-2025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45812</v>
      </c>
      <c r="E293" s="1" t="n">
        <v>46263</v>
      </c>
      <c r="F293" t="inlineStr">
        <is>
          <t>KRONOBERGS LÄN</t>
        </is>
      </c>
      <c r="G293" t="inlineStr">
        <is>
          <t>ÄLMHULT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45748</v>
      </c>
      <c r="E294" s="1" t="n">
        <v>46263</v>
      </c>
      <c r="F294" t="inlineStr">
        <is>
          <t>KRONOBERGS LÄN</t>
        </is>
      </c>
      <c r="G294" t="inlineStr">
        <is>
          <t>ÄLMHULT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46016</v>
      </c>
      <c r="E295" s="1" t="n">
        <v>46263</v>
      </c>
      <c r="F295" t="inlineStr">
        <is>
          <t>KRONOBERGS LÄN</t>
        </is>
      </c>
      <c r="G295" t="inlineStr">
        <is>
          <t>ÄLMHULT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46263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46263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44784</v>
      </c>
      <c r="E298" s="1" t="n">
        <v>46263</v>
      </c>
      <c r="F298" t="inlineStr">
        <is>
          <t>KRONOBERGS LÄN</t>
        </is>
      </c>
      <c r="G298" t="inlineStr">
        <is>
          <t>ÄLMHULT</t>
        </is>
      </c>
      <c r="H298" t="inlineStr">
        <is>
          <t>Kyrkan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45348</v>
      </c>
      <c r="E299" s="1" t="n">
        <v>46263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46263</v>
      </c>
      <c r="F300" t="inlineStr">
        <is>
          <t>KRONOBERGS LÄN</t>
        </is>
      </c>
      <c r="G300" t="inlineStr">
        <is>
          <t>ÄLMHULT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46263</v>
      </c>
      <c r="F301" t="inlineStr">
        <is>
          <t>KRONOBERGS LÄN</t>
        </is>
      </c>
      <c r="G301" t="inlineStr">
        <is>
          <t>ÄLMHULT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46263</v>
      </c>
      <c r="F302" t="inlineStr">
        <is>
          <t>KRONOBERGS LÄN</t>
        </is>
      </c>
      <c r="G302" t="inlineStr">
        <is>
          <t>ÄLMHULT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46263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46263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44865</v>
      </c>
      <c r="E305" s="1" t="n">
        <v>46263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45078</v>
      </c>
      <c r="E306" s="1" t="n">
        <v>46263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46263</v>
      </c>
      <c r="F307" t="inlineStr">
        <is>
          <t>KRONOBERGS LÄN</t>
        </is>
      </c>
      <c r="G307" t="inlineStr">
        <is>
          <t>ÄLMHULT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46263</v>
      </c>
      <c r="F308" t="inlineStr">
        <is>
          <t>KRONOBERGS LÄN</t>
        </is>
      </c>
      <c r="G308" t="inlineStr">
        <is>
          <t>ÄLMHULT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46263</v>
      </c>
      <c r="F309" t="inlineStr">
        <is>
          <t>KRONOBERGS LÄN</t>
        </is>
      </c>
      <c r="G309" t="inlineStr">
        <is>
          <t>ÄLMHULT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46263</v>
      </c>
      <c r="F310" t="inlineStr">
        <is>
          <t>KRONOBERGS LÄN</t>
        </is>
      </c>
      <c r="G310" t="inlineStr">
        <is>
          <t>ÄLMHULT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46263</v>
      </c>
      <c r="F311" t="inlineStr">
        <is>
          <t>KRONOBERGS LÄN</t>
        </is>
      </c>
      <c r="G311" t="inlineStr">
        <is>
          <t>ÄLMHULT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68552-2021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46263</v>
      </c>
      <c r="F312" t="inlineStr">
        <is>
          <t>KRONOBERGS LÄN</t>
        </is>
      </c>
      <c r="G312" t="inlineStr">
        <is>
          <t>ÄLMHULT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46263</v>
      </c>
      <c r="F313" t="inlineStr">
        <is>
          <t>KRONOBERGS LÄN</t>
        </is>
      </c>
      <c r="G313" t="inlineStr">
        <is>
          <t>ÄLMHULT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46263</v>
      </c>
      <c r="F314" t="inlineStr">
        <is>
          <t>KRONOBERGS LÄN</t>
        </is>
      </c>
      <c r="G314" t="inlineStr">
        <is>
          <t>ÄLMHULT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46263</v>
      </c>
      <c r="F315" t="inlineStr">
        <is>
          <t>KRONOBERGS LÄN</t>
        </is>
      </c>
      <c r="G315" t="inlineStr">
        <is>
          <t>ÄLMHULT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46263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46263</v>
      </c>
      <c r="F317" t="inlineStr">
        <is>
          <t>KRONOBERGS LÄN</t>
        </is>
      </c>
      <c r="G317" t="inlineStr">
        <is>
          <t>ÄLMHULT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44882</v>
      </c>
      <c r="E318" s="1" t="n">
        <v>46263</v>
      </c>
      <c r="F318" t="inlineStr">
        <is>
          <t>KRONOBERGS LÄN</t>
        </is>
      </c>
      <c r="G318" t="inlineStr">
        <is>
          <t>ÄLMHULT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45467</v>
      </c>
      <c r="E319" s="1" t="n">
        <v>46263</v>
      </c>
      <c r="F319" t="inlineStr">
        <is>
          <t>KRONOBERGS LÄN</t>
        </is>
      </c>
      <c r="G319" t="inlineStr">
        <is>
          <t>ÄLMHULT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46263</v>
      </c>
      <c r="F320" t="inlineStr">
        <is>
          <t>KRONOBERGS LÄN</t>
        </is>
      </c>
      <c r="G320" t="inlineStr">
        <is>
          <t>ÄLMHULT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46263</v>
      </c>
      <c r="F321" t="inlineStr">
        <is>
          <t>KRONOBERGS LÄN</t>
        </is>
      </c>
      <c r="G321" t="inlineStr">
        <is>
          <t>ÄLMHULT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44858</v>
      </c>
      <c r="E322" s="1" t="n">
        <v>46263</v>
      </c>
      <c r="F322" t="inlineStr">
        <is>
          <t>KRONOBERGS LÄN</t>
        </is>
      </c>
      <c r="G322" t="inlineStr">
        <is>
          <t>ÄLMHULT</t>
        </is>
      </c>
      <c r="I322" t="n">
        <v>14.2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46263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46263</v>
      </c>
      <c r="F324" t="inlineStr">
        <is>
          <t>KRONOBERGS LÄN</t>
        </is>
      </c>
      <c r="G324" t="inlineStr">
        <is>
          <t>ÄLMHULT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44855-2021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44438</v>
      </c>
      <c r="E325" s="1" t="n">
        <v>46263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45374</v>
      </c>
      <c r="E326" s="1" t="n">
        <v>46263</v>
      </c>
      <c r="F326" t="inlineStr">
        <is>
          <t>KRONOBERGS LÄN</t>
        </is>
      </c>
      <c r="G326" t="inlineStr">
        <is>
          <t>ÄLMHULT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45433</v>
      </c>
      <c r="E327" s="1" t="n">
        <v>46263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59114-2022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46263</v>
      </c>
      <c r="F328" t="inlineStr">
        <is>
          <t>KRONOBERGS LÄN</t>
        </is>
      </c>
      <c r="G328" t="inlineStr">
        <is>
          <t>ÄLMHULT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46263</v>
      </c>
      <c r="F329" t="inlineStr">
        <is>
          <t>KRONOBERGS LÄN</t>
        </is>
      </c>
      <c r="G329" t="inlineStr">
        <is>
          <t>ÄLMHULT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46263</v>
      </c>
      <c r="F330" t="inlineStr">
        <is>
          <t>KRONOBERGS LÄN</t>
        </is>
      </c>
      <c r="G330" t="inlineStr">
        <is>
          <t>ÄLMHULT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45103</v>
      </c>
      <c r="E331" s="1" t="n">
        <v>46263</v>
      </c>
      <c r="F331" t="inlineStr">
        <is>
          <t>KRONOBERGS LÄN</t>
        </is>
      </c>
      <c r="G331" t="inlineStr">
        <is>
          <t>ÄLMHULT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46263</v>
      </c>
      <c r="F332" t="inlineStr">
        <is>
          <t>KRONOBERGS LÄN</t>
        </is>
      </c>
      <c r="G332" t="inlineStr">
        <is>
          <t>ÄLMHULT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58496-2023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45251</v>
      </c>
      <c r="E333" s="1" t="n">
        <v>46263</v>
      </c>
      <c r="F333" t="inlineStr">
        <is>
          <t>KRONOBERGS LÄN</t>
        </is>
      </c>
      <c r="G333" t="inlineStr">
        <is>
          <t>ÄLMHULT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46263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63569-2021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44508</v>
      </c>
      <c r="E335" s="1" t="n">
        <v>46263</v>
      </c>
      <c r="F335" t="inlineStr">
        <is>
          <t>KRONOBERGS LÄN</t>
        </is>
      </c>
      <c r="G335" t="inlineStr">
        <is>
          <t>ÄLMHULT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46263</v>
      </c>
      <c r="F336" t="inlineStr">
        <is>
          <t>KRONOBERGS LÄN</t>
        </is>
      </c>
      <c r="G336" t="inlineStr">
        <is>
          <t>ÄLMHULT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46263</v>
      </c>
      <c r="F337" t="inlineStr">
        <is>
          <t>KRONOBERGS LÄN</t>
        </is>
      </c>
      <c r="G337" t="inlineStr">
        <is>
          <t>ÄLMHULT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46263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46263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46263</v>
      </c>
      <c r="F340" t="inlineStr">
        <is>
          <t>KRONOBERGS LÄN</t>
        </is>
      </c>
      <c r="G340" t="inlineStr">
        <is>
          <t>ÄLMHULT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44992</v>
      </c>
      <c r="E341" s="1" t="n">
        <v>46263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7594-2026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46061</v>
      </c>
      <c r="E342" s="1" t="n">
        <v>46263</v>
      </c>
      <c r="F342" t="inlineStr">
        <is>
          <t>KRONOBERGS LÄN</t>
        </is>
      </c>
      <c r="G342" t="inlineStr">
        <is>
          <t>ÄLMHULT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46263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46263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13606-2023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45006</v>
      </c>
      <c r="E345" s="1" t="n">
        <v>46263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46263</v>
      </c>
      <c r="F346" t="inlineStr">
        <is>
          <t>KRONOBERGS LÄN</t>
        </is>
      </c>
      <c r="G346" t="inlineStr">
        <is>
          <t>ÄLMHULT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46263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46263</v>
      </c>
      <c r="F348" t="inlineStr">
        <is>
          <t>KRONOBERGS LÄN</t>
        </is>
      </c>
      <c r="G348" t="inlineStr">
        <is>
          <t>ÄLMHULT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46263</v>
      </c>
      <c r="F349" t="inlineStr">
        <is>
          <t>KRONOBERGS LÄN</t>
        </is>
      </c>
      <c r="G349" t="inlineStr">
        <is>
          <t>ÄLMHULT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46263</v>
      </c>
      <c r="F350" t="inlineStr">
        <is>
          <t>KRONOBERGS LÄN</t>
        </is>
      </c>
      <c r="G350" t="inlineStr">
        <is>
          <t>ÄLMHULT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71802-2021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44543</v>
      </c>
      <c r="E351" s="1" t="n">
        <v>46263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46263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45450</v>
      </c>
      <c r="E353" s="1" t="n">
        <v>46263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44523</v>
      </c>
      <c r="E354" s="1" t="n">
        <v>46263</v>
      </c>
      <c r="F354" t="inlineStr">
        <is>
          <t>KRONOBERGS LÄN</t>
        </is>
      </c>
      <c r="G354" t="inlineStr">
        <is>
          <t>ÄLMHULT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55629-2021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44476</v>
      </c>
      <c r="E355" s="1" t="n">
        <v>46263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45586</v>
      </c>
      <c r="E356" s="1" t="n">
        <v>46263</v>
      </c>
      <c r="F356" t="inlineStr">
        <is>
          <t>KRONOBERGS LÄN</t>
        </is>
      </c>
      <c r="G356" t="inlineStr">
        <is>
          <t>ÄLMHULT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54734-2021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44473</v>
      </c>
      <c r="E357" s="1" t="n">
        <v>46263</v>
      </c>
      <c r="F357" t="inlineStr">
        <is>
          <t>KRONOBERGS LÄN</t>
        </is>
      </c>
      <c r="G357" t="inlineStr">
        <is>
          <t>ÄLMHULT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8102-2026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46063</v>
      </c>
      <c r="E358" s="1" t="n">
        <v>46263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46263</v>
      </c>
      <c r="F359" t="inlineStr">
        <is>
          <t>KRONOBERGS LÄN</t>
        </is>
      </c>
      <c r="G359" t="inlineStr">
        <is>
          <t>ÄLMHULT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46263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46263</v>
      </c>
      <c r="F361" t="inlineStr">
        <is>
          <t>KRONOBERGS LÄN</t>
        </is>
      </c>
      <c r="G361" t="inlineStr">
        <is>
          <t>ÄLMHULT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46263</v>
      </c>
      <c r="F362" t="inlineStr">
        <is>
          <t>KRONOBERGS LÄN</t>
        </is>
      </c>
      <c r="G362" t="inlineStr">
        <is>
          <t>ÄLMHULT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46263</v>
      </c>
      <c r="F363" t="inlineStr">
        <is>
          <t>KRONOBERGS LÄN</t>
        </is>
      </c>
      <c r="G363" t="inlineStr">
        <is>
          <t>ÄLMHULT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HYPERLINK("https://klasma.github.io/Logging_0765/knärot/A 27756-2023 karta knärot.png", "A 27756-2023")</f>
        <v/>
      </c>
      <c r="AA363">
        <f>HYPERLINK("https://klasma.github.io/Logging_0765/klagomål/A 27756-2023 FSC-klagomål.docx", "A 27756-2023")</f>
        <v/>
      </c>
      <c r="AB363">
        <f>HYPERLINK("https://klasma.github.io/Logging_0765/klagomålsmail/A 27756-2023 FSC-klagomål mail.docx", "A 27756-2023")</f>
        <v/>
      </c>
      <c r="AC363">
        <f>HYPERLINK("https://klasma.github.io/Logging_0765/tillsyn/A 27756-2023 tillsynsbegäran.docx", "A 27756-2023")</f>
        <v/>
      </c>
      <c r="AD363">
        <f>HYPERLINK("https://klasma.github.io/Logging_0765/tillsynsmail/A 27756-2023 tillsynsbegäran mail.docx", "A 27756-2023")</f>
        <v/>
      </c>
    </row>
    <row r="364" ht="15" customHeight="1">
      <c r="A364" t="inlineStr">
        <is>
          <t>A 52171-2024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46263</v>
      </c>
      <c r="F364" t="inlineStr">
        <is>
          <t>KRONOBERGS LÄN</t>
        </is>
      </c>
      <c r="G364" t="inlineStr">
        <is>
          <t>ÄLMHULT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46263</v>
      </c>
      <c r="F365" t="inlineStr">
        <is>
          <t>KRONOBERGS LÄN</t>
        </is>
      </c>
      <c r="G365" t="inlineStr">
        <is>
          <t>ÄLMHULT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46263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46263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45827</v>
      </c>
      <c r="E368" s="1" t="n">
        <v>46263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45539</v>
      </c>
      <c r="E369" s="1" t="n">
        <v>46263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46263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46263</v>
      </c>
      <c r="F371" t="inlineStr">
        <is>
          <t>KRONOBERGS LÄN</t>
        </is>
      </c>
      <c r="G371" t="inlineStr">
        <is>
          <t>ÄLMHULT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46263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44979</v>
      </c>
      <c r="E373" s="1" t="n">
        <v>46263</v>
      </c>
      <c r="F373" t="inlineStr">
        <is>
          <t>KRONOBERGS LÄN</t>
        </is>
      </c>
      <c r="G373" t="inlineStr">
        <is>
          <t>ÄLMHULT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46263</v>
      </c>
      <c r="F374" t="inlineStr">
        <is>
          <t>KRONOBERGS LÄN</t>
        </is>
      </c>
      <c r="G374" t="inlineStr">
        <is>
          <t>ÄLMHULT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45010</v>
      </c>
      <c r="E375" s="1" t="n">
        <v>46263</v>
      </c>
      <c r="F375" t="inlineStr">
        <is>
          <t>KRONOBERGS LÄN</t>
        </is>
      </c>
      <c r="G375" t="inlineStr">
        <is>
          <t>ÄLMHULT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45539</v>
      </c>
      <c r="E376" s="1" t="n">
        <v>46263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45355</v>
      </c>
      <c r="E377" s="1" t="n">
        <v>46263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45720</v>
      </c>
      <c r="E378" s="1" t="n">
        <v>46263</v>
      </c>
      <c r="F378" t="inlineStr">
        <is>
          <t>KRONOBERGS LÄN</t>
        </is>
      </c>
      <c r="G378" t="inlineStr">
        <is>
          <t>ÄLMHULT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46263</v>
      </c>
      <c r="F379" t="inlineStr">
        <is>
          <t>KRONOBERGS LÄN</t>
        </is>
      </c>
      <c r="G379" t="inlineStr">
        <is>
          <t>ÄLMHULT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45049</v>
      </c>
      <c r="E380" s="1" t="n">
        <v>46263</v>
      </c>
      <c r="F380" t="inlineStr">
        <is>
          <t>KRONOBERGS LÄN</t>
        </is>
      </c>
      <c r="G380" t="inlineStr">
        <is>
          <t>ÄLMHULT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46263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46263</v>
      </c>
      <c r="F382" t="inlineStr">
        <is>
          <t>KRONOBERGS LÄN</t>
        </is>
      </c>
      <c r="G382" t="inlineStr">
        <is>
          <t>ÄLMHULT</t>
        </is>
      </c>
      <c r="I382" t="n">
        <v>29.1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46263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45282</v>
      </c>
      <c r="E384" s="1" t="n">
        <v>46263</v>
      </c>
      <c r="F384" t="inlineStr">
        <is>
          <t>KRONOBERGS LÄN</t>
        </is>
      </c>
      <c r="G384" t="inlineStr">
        <is>
          <t>ÄLMHULT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44686</v>
      </c>
      <c r="E385" s="1" t="n">
        <v>46263</v>
      </c>
      <c r="F385" t="inlineStr">
        <is>
          <t>KRONOBERGS LÄN</t>
        </is>
      </c>
      <c r="G385" t="inlineStr">
        <is>
          <t>ÄLMHULT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46263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46263</v>
      </c>
      <c r="F387" t="inlineStr">
        <is>
          <t>KRONOBERGS LÄN</t>
        </is>
      </c>
      <c r="G387" t="inlineStr">
        <is>
          <t>ÄLMHULT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44636</v>
      </c>
      <c r="E388" s="1" t="n">
        <v>46263</v>
      </c>
      <c r="F388" t="inlineStr">
        <is>
          <t>KRONOBERGS LÄN</t>
        </is>
      </c>
      <c r="G388" t="inlineStr">
        <is>
          <t>ÄLMHULT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46263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46263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10.2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46263</v>
      </c>
      <c r="F391" t="inlineStr">
        <is>
          <t>KRONOBERGS LÄN</t>
        </is>
      </c>
      <c r="G391" t="inlineStr">
        <is>
          <t>ÄLMHULT</t>
        </is>
      </c>
      <c r="H391" t="inlineStr">
        <is>
          <t>Sveaskog</t>
        </is>
      </c>
      <c r="I391" t="n">
        <v>15.3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46263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46263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46263</v>
      </c>
      <c r="F394" t="inlineStr">
        <is>
          <t>KRONOBERGS LÄN</t>
        </is>
      </c>
      <c r="G394" t="inlineStr">
        <is>
          <t>ÄLMHULT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46263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46263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46263</v>
      </c>
      <c r="F397" t="inlineStr">
        <is>
          <t>KRONOBERGS LÄN</t>
        </is>
      </c>
      <c r="G397" t="inlineStr">
        <is>
          <t>ÄLMHULT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46263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46263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69454-2021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44531</v>
      </c>
      <c r="E400" s="1" t="n">
        <v>46263</v>
      </c>
      <c r="F400" t="inlineStr">
        <is>
          <t>KRONOBERGS LÄN</t>
        </is>
      </c>
      <c r="G400" t="inlineStr">
        <is>
          <t>ÄLMHULT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44587</v>
      </c>
      <c r="E401" s="1" t="n">
        <v>46263</v>
      </c>
      <c r="F401" t="inlineStr">
        <is>
          <t>KRONOBERGS LÄN</t>
        </is>
      </c>
      <c r="G401" t="inlineStr">
        <is>
          <t>ÄLMHULT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46263</v>
      </c>
      <c r="F402" t="inlineStr">
        <is>
          <t>KRONOBERGS LÄN</t>
        </is>
      </c>
      <c r="G402" t="inlineStr">
        <is>
          <t>ÄLMHULT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45062</v>
      </c>
      <c r="E403" s="1" t="n">
        <v>46263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46263</v>
      </c>
      <c r="F404" t="inlineStr">
        <is>
          <t>KRONOBERGS LÄN</t>
        </is>
      </c>
      <c r="G404" t="inlineStr">
        <is>
          <t>ÄLMHULT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45677</v>
      </c>
      <c r="E405" s="1" t="n">
        <v>46263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46263</v>
      </c>
      <c r="F406" t="inlineStr">
        <is>
          <t>KRONOBERGS LÄN</t>
        </is>
      </c>
      <c r="G406" t="inlineStr">
        <is>
          <t>ÄLMHULT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44592</v>
      </c>
      <c r="E407" s="1" t="n">
        <v>46263</v>
      </c>
      <c r="F407" t="inlineStr">
        <is>
          <t>KRONOBERGS LÄN</t>
        </is>
      </c>
      <c r="G407" t="inlineStr">
        <is>
          <t>ÄLMHULT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46263</v>
      </c>
      <c r="F408" t="inlineStr">
        <is>
          <t>KRONOBERGS LÄN</t>
        </is>
      </c>
      <c r="G408" t="inlineStr">
        <is>
          <t>ÄLMHULT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45653</v>
      </c>
      <c r="E409" s="1" t="n">
        <v>46263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48559-2022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44859</v>
      </c>
      <c r="E410" s="1" t="n">
        <v>46263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11782-2022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44634</v>
      </c>
      <c r="E411" s="1" t="n">
        <v>46263</v>
      </c>
      <c r="F411" t="inlineStr">
        <is>
          <t>KRONOBERGS LÄN</t>
        </is>
      </c>
      <c r="G411" t="inlineStr">
        <is>
          <t>ÄLMHULT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44861</v>
      </c>
      <c r="E412" s="1" t="n">
        <v>46263</v>
      </c>
      <c r="F412" t="inlineStr">
        <is>
          <t>KRONOBERGS LÄN</t>
        </is>
      </c>
      <c r="G412" t="inlineStr">
        <is>
          <t>ÄLMHULT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45625</v>
      </c>
      <c r="E413" s="1" t="n">
        <v>46263</v>
      </c>
      <c r="F413" t="inlineStr">
        <is>
          <t>KRONOBERGS LÄN</t>
        </is>
      </c>
      <c r="G413" t="inlineStr">
        <is>
          <t>ÄLMHULT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46263</v>
      </c>
      <c r="F414" t="inlineStr">
        <is>
          <t>KRONOBERGS LÄN</t>
        </is>
      </c>
      <c r="G414" t="inlineStr">
        <is>
          <t>ÄLMHULT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46263</v>
      </c>
      <c r="F415" t="inlineStr">
        <is>
          <t>KRONOBERGS LÄN</t>
        </is>
      </c>
      <c r="G415" t="inlineStr">
        <is>
          <t>ÄLMHULT</t>
        </is>
      </c>
      <c r="I415" t="n">
        <v>11.5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44698</v>
      </c>
      <c r="E416" s="1" t="n">
        <v>46263</v>
      </c>
      <c r="F416" t="inlineStr">
        <is>
          <t>KRONOBERGS LÄN</t>
        </is>
      </c>
      <c r="G416" t="inlineStr">
        <is>
          <t>ÄLMHULT</t>
        </is>
      </c>
      <c r="I416" t="n">
        <v>11.9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45771</v>
      </c>
      <c r="E417" s="1" t="n">
        <v>46263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46263</v>
      </c>
      <c r="F418" t="inlineStr">
        <is>
          <t>KRONOBERGS LÄN</t>
        </is>
      </c>
      <c r="G418" t="inlineStr">
        <is>
          <t>ÄLMHULT</t>
        </is>
      </c>
      <c r="H418" t="inlineStr">
        <is>
          <t>Kyrkan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46263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46263</v>
      </c>
      <c r="F420" t="inlineStr">
        <is>
          <t>KRONOBERGS LÄN</t>
        </is>
      </c>
      <c r="G420" t="inlineStr">
        <is>
          <t>ÄLMHULT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45460</v>
      </c>
      <c r="E421" s="1" t="n">
        <v>46263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45693</v>
      </c>
      <c r="E422" s="1" t="n">
        <v>46263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45698</v>
      </c>
      <c r="E423" s="1" t="n">
        <v>46263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46263</v>
      </c>
      <c r="F424" t="inlineStr">
        <is>
          <t>KRONOBERGS LÄN</t>
        </is>
      </c>
      <c r="G424" t="inlineStr">
        <is>
          <t>ÄLMHULT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46263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46263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46263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49327-2025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46263</v>
      </c>
      <c r="F428" t="inlineStr">
        <is>
          <t>KRONOBERGS LÄN</t>
        </is>
      </c>
      <c r="G428" t="inlineStr">
        <is>
          <t>ÄLMHULT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45214</v>
      </c>
      <c r="E429" s="1" t="n">
        <v>46263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46263</v>
      </c>
      <c r="F430" t="inlineStr">
        <is>
          <t>KRONOBERGS LÄN</t>
        </is>
      </c>
      <c r="G430" t="inlineStr">
        <is>
          <t>ÄLMHULT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46263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41577-2023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45175</v>
      </c>
      <c r="E432" s="1" t="n">
        <v>46263</v>
      </c>
      <c r="F432" t="inlineStr">
        <is>
          <t>KRONOBERGS LÄN</t>
        </is>
      </c>
      <c r="G432" t="inlineStr">
        <is>
          <t>ÄLMHULT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43827-2023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46263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46263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46263</v>
      </c>
      <c r="F435" t="inlineStr">
        <is>
          <t>KRONOBERGS LÄN</t>
        </is>
      </c>
      <c r="G435" t="inlineStr">
        <is>
          <t>ÄLMHULT</t>
        </is>
      </c>
      <c r="H435" t="inlineStr">
        <is>
          <t>Kyrkan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45681</v>
      </c>
      <c r="E436" s="1" t="n">
        <v>46263</v>
      </c>
      <c r="F436" t="inlineStr">
        <is>
          <t>KRONOBERGS LÄN</t>
        </is>
      </c>
      <c r="G436" t="inlineStr">
        <is>
          <t>ÄLMHULT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54363-2023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45233</v>
      </c>
      <c r="E437" s="1" t="n">
        <v>46263</v>
      </c>
      <c r="F437" t="inlineStr">
        <is>
          <t>KRONOBERGS LÄN</t>
        </is>
      </c>
      <c r="G437" t="inlineStr">
        <is>
          <t>ÄLMHULT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54364-2023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45233</v>
      </c>
      <c r="E438" s="1" t="n">
        <v>46263</v>
      </c>
      <c r="F438" t="inlineStr">
        <is>
          <t>KRONOBERGS LÄN</t>
        </is>
      </c>
      <c r="G438" t="inlineStr">
        <is>
          <t>ÄLMHULT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46263</v>
      </c>
      <c r="F439" t="inlineStr">
        <is>
          <t>KRONOBERGS LÄN</t>
        </is>
      </c>
      <c r="G439" t="inlineStr">
        <is>
          <t>ÄLMHULT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45887</v>
      </c>
      <c r="E440" s="1" t="n">
        <v>46263</v>
      </c>
      <c r="F440" t="inlineStr">
        <is>
          <t>KRONOBERGS LÄN</t>
        </is>
      </c>
      <c r="G440" t="inlineStr">
        <is>
          <t>ÄLMHULT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46263</v>
      </c>
      <c r="F441" t="inlineStr">
        <is>
          <t>KRONOBERGS LÄN</t>
        </is>
      </c>
      <c r="G441" t="inlineStr">
        <is>
          <t>ÄLMHULT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45612</v>
      </c>
      <c r="E442" s="1" t="n">
        <v>46263</v>
      </c>
      <c r="F442" t="inlineStr">
        <is>
          <t>KRONOBERGS LÄN</t>
        </is>
      </c>
      <c r="G442" t="inlineStr">
        <is>
          <t>ÄLMHULT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46263</v>
      </c>
      <c r="F443" t="inlineStr">
        <is>
          <t>KRONOBERGS LÄN</t>
        </is>
      </c>
      <c r="G443" t="inlineStr">
        <is>
          <t>ÄLMHULT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46263</v>
      </c>
      <c r="F444" t="inlineStr">
        <is>
          <t>KRONOBERGS LÄN</t>
        </is>
      </c>
      <c r="G444" t="inlineStr">
        <is>
          <t>ÄLMHULT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46263</v>
      </c>
      <c r="F445" t="inlineStr">
        <is>
          <t>KRONOBERGS LÄN</t>
        </is>
      </c>
      <c r="G445" t="inlineStr">
        <is>
          <t>ÄLMHULT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46263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45679</v>
      </c>
      <c r="E447" s="1" t="n">
        <v>46263</v>
      </c>
      <c r="F447" t="inlineStr">
        <is>
          <t>KRONOBERGS LÄN</t>
        </is>
      </c>
      <c r="G447" t="inlineStr">
        <is>
          <t>ÄLMHULT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46263</v>
      </c>
      <c r="F448" t="inlineStr">
        <is>
          <t>KRONOBERGS LÄN</t>
        </is>
      </c>
      <c r="G448" t="inlineStr">
        <is>
          <t>ÄLMHULT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46263</v>
      </c>
      <c r="F449" t="inlineStr">
        <is>
          <t>KRONOBERGS LÄN</t>
        </is>
      </c>
      <c r="G449" t="inlineStr">
        <is>
          <t>ÄLMHULT</t>
        </is>
      </c>
      <c r="H449" t="inlineStr">
        <is>
          <t>Sveaskog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45250</v>
      </c>
      <c r="E450" s="1" t="n">
        <v>46263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45250</v>
      </c>
      <c r="E451" s="1" t="n">
        <v>46263</v>
      </c>
      <c r="F451" t="inlineStr">
        <is>
          <t>KRONOBERGS LÄN</t>
        </is>
      </c>
      <c r="G451" t="inlineStr">
        <is>
          <t>ÄLMHULT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46263</v>
      </c>
      <c r="F452" t="inlineStr">
        <is>
          <t>KRONOBERGS LÄN</t>
        </is>
      </c>
      <c r="G452" t="inlineStr">
        <is>
          <t>ÄLMHULT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45421</v>
      </c>
      <c r="E453" s="1" t="n">
        <v>46263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46263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46263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35627-2024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46263</v>
      </c>
      <c r="F456" t="inlineStr">
        <is>
          <t>KRONOBERGS LÄN</t>
        </is>
      </c>
      <c r="G456" t="inlineStr">
        <is>
          <t>ÄLMHULT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46263</v>
      </c>
      <c r="F457" t="inlineStr">
        <is>
          <t>KRONOBERGS LÄN</t>
        </is>
      </c>
      <c r="G457" t="inlineStr">
        <is>
          <t>ÄLMHULT</t>
        </is>
      </c>
      <c r="I457" t="n">
        <v>7.9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46263</v>
      </c>
      <c r="F458" t="inlineStr">
        <is>
          <t>KRONOBERGS LÄN</t>
        </is>
      </c>
      <c r="G458" t="inlineStr">
        <is>
          <t>ÄLMHULT</t>
        </is>
      </c>
      <c r="H458" t="inlineStr">
        <is>
          <t>Kommuner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60690-2021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46263</v>
      </c>
      <c r="F459" t="inlineStr">
        <is>
          <t>KRONOBERGS LÄN</t>
        </is>
      </c>
      <c r="G459" t="inlineStr">
        <is>
          <t>ÄLMHULT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46263</v>
      </c>
      <c r="F460" t="inlineStr">
        <is>
          <t>KRONOBERGS LÄN</t>
        </is>
      </c>
      <c r="G460" t="inlineStr">
        <is>
          <t>ÄLMHULT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45051</v>
      </c>
      <c r="E461" s="1" t="n">
        <v>46263</v>
      </c>
      <c r="F461" t="inlineStr">
        <is>
          <t>KRONOBERGS LÄN</t>
        </is>
      </c>
      <c r="G461" t="inlineStr">
        <is>
          <t>ÄLMHULT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45268</v>
      </c>
      <c r="E462" s="1" t="n">
        <v>46263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46263</v>
      </c>
      <c r="F463" t="inlineStr">
        <is>
          <t>KRONOBERGS LÄN</t>
        </is>
      </c>
      <c r="G463" t="inlineStr">
        <is>
          <t>ÄLMHULT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45175</v>
      </c>
      <c r="E464" s="1" t="n">
        <v>46263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44876</v>
      </c>
      <c r="E465" s="1" t="n">
        <v>46263</v>
      </c>
      <c r="F465" t="inlineStr">
        <is>
          <t>KRONOBERGS LÄN</t>
        </is>
      </c>
      <c r="G465" t="inlineStr">
        <is>
          <t>ÄLMHULT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45440</v>
      </c>
      <c r="E466" s="1" t="n">
        <v>46263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62120-2022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44921</v>
      </c>
      <c r="E467" s="1" t="n">
        <v>46263</v>
      </c>
      <c r="F467" t="inlineStr">
        <is>
          <t>KRONOBERGS LÄN</t>
        </is>
      </c>
      <c r="G467" t="inlineStr">
        <is>
          <t>ÄLMHULT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45734</v>
      </c>
      <c r="E468" s="1" t="n">
        <v>46263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45608</v>
      </c>
      <c r="E469" s="1" t="n">
        <v>46263</v>
      </c>
      <c r="F469" t="inlineStr">
        <is>
          <t>KRONOBERGS LÄN</t>
        </is>
      </c>
      <c r="G469" t="inlineStr">
        <is>
          <t>ÄLMHULT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46263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10087-2022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44621</v>
      </c>
      <c r="E471" s="1" t="n">
        <v>46263</v>
      </c>
      <c r="F471" t="inlineStr">
        <is>
          <t>KRONOBERGS LÄN</t>
        </is>
      </c>
      <c r="G471" t="inlineStr">
        <is>
          <t>ÄLMHULT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44858</v>
      </c>
      <c r="E472" s="1" t="n">
        <v>46263</v>
      </c>
      <c r="F472" t="inlineStr">
        <is>
          <t>KRONOBERGS LÄN</t>
        </is>
      </c>
      <c r="G472" t="inlineStr">
        <is>
          <t>ÄLMHULT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43903-2023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46263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45412</v>
      </c>
      <c r="E474" s="1" t="n">
        <v>46263</v>
      </c>
      <c r="F474" t="inlineStr">
        <is>
          <t>KRONOBERGS LÄN</t>
        </is>
      </c>
      <c r="G474" t="inlineStr">
        <is>
          <t>ÄLMHULT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46263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46263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8329-2022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44610</v>
      </c>
      <c r="E477" s="1" t="n">
        <v>46263</v>
      </c>
      <c r="F477" t="inlineStr">
        <is>
          <t>KRONOBERGS LÄN</t>
        </is>
      </c>
      <c r="G477" t="inlineStr">
        <is>
          <t>ÄLMHULT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46263</v>
      </c>
      <c r="F478" t="inlineStr">
        <is>
          <t>KRONOBERGS LÄN</t>
        </is>
      </c>
      <c r="G478" t="inlineStr">
        <is>
          <t>ÄLMHULT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46263</v>
      </c>
      <c r="F479" t="inlineStr">
        <is>
          <t>KRONOBERGS LÄN</t>
        </is>
      </c>
      <c r="G479" t="inlineStr">
        <is>
          <t>ÄLMHULT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46263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45085</v>
      </c>
      <c r="E481" s="1" t="n">
        <v>46263</v>
      </c>
      <c r="F481" t="inlineStr">
        <is>
          <t>KRONOBERGS LÄN</t>
        </is>
      </c>
      <c r="G481" t="inlineStr">
        <is>
          <t>ÄLMHULT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2239-2023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46263</v>
      </c>
      <c r="F482" t="inlineStr">
        <is>
          <t>KRONOBERGS LÄN</t>
        </is>
      </c>
      <c r="G482" t="inlineStr">
        <is>
          <t>ÄLMHULT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45930</v>
      </c>
      <c r="E483" s="1" t="n">
        <v>46263</v>
      </c>
      <c r="F483" t="inlineStr">
        <is>
          <t>KRONOBERGS LÄN</t>
        </is>
      </c>
      <c r="G483" t="inlineStr">
        <is>
          <t>ÄLMHULT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46263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46263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45290</v>
      </c>
      <c r="E486" s="1" t="n">
        <v>46263</v>
      </c>
      <c r="F486" t="inlineStr">
        <is>
          <t>KRONOBERGS LÄN</t>
        </is>
      </c>
      <c r="G486" t="inlineStr">
        <is>
          <t>ÄLMHULT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46263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46263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56925-2023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46263</v>
      </c>
      <c r="F489" t="inlineStr">
        <is>
          <t>KRONOBERGS LÄN</t>
        </is>
      </c>
      <c r="G489" t="inlineStr">
        <is>
          <t>ÄLMHULT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45111</v>
      </c>
      <c r="E490" s="1" t="n">
        <v>46263</v>
      </c>
      <c r="F490" t="inlineStr">
        <is>
          <t>KRONOBERGS LÄN</t>
        </is>
      </c>
      <c r="G490" t="inlineStr">
        <is>
          <t>ÄLMHULT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68189-2021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46263</v>
      </c>
      <c r="F491" t="inlineStr">
        <is>
          <t>KRONOBERGS LÄN</t>
        </is>
      </c>
      <c r="G491" t="inlineStr">
        <is>
          <t>ÄLMHULT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46263</v>
      </c>
      <c r="F492" t="inlineStr">
        <is>
          <t>KRONOBERGS LÄN</t>
        </is>
      </c>
      <c r="G492" t="inlineStr">
        <is>
          <t>ÄLMHULT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45359</v>
      </c>
      <c r="E493" s="1" t="n">
        <v>46263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45012</v>
      </c>
      <c r="E494" s="1" t="n">
        <v>46263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18575-2022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44687</v>
      </c>
      <c r="E495" s="1" t="n">
        <v>46263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45081</v>
      </c>
      <c r="E496" s="1" t="n">
        <v>46263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46263</v>
      </c>
      <c r="F497" t="inlineStr">
        <is>
          <t>KRONOBERGS LÄN</t>
        </is>
      </c>
      <c r="G497" t="inlineStr">
        <is>
          <t>ÄLMHULT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57501-2024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45630</v>
      </c>
      <c r="E498" s="1" t="n">
        <v>46263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45010</v>
      </c>
      <c r="E499" s="1" t="n">
        <v>46263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19063-2023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45048</v>
      </c>
      <c r="E500" s="1" t="n">
        <v>46263</v>
      </c>
      <c r="F500" t="inlineStr">
        <is>
          <t>KRONOBERGS LÄN</t>
        </is>
      </c>
      <c r="G500" t="inlineStr">
        <is>
          <t>ÄLMHULT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46263</v>
      </c>
      <c r="F501" t="inlineStr">
        <is>
          <t>KRONOBERGS LÄN</t>
        </is>
      </c>
      <c r="G501" t="inlineStr">
        <is>
          <t>ÄLMHULT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45042</v>
      </c>
      <c r="E502" s="1" t="n">
        <v>46263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46263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45391</v>
      </c>
      <c r="E504" s="1" t="n">
        <v>46263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33944-2023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45134</v>
      </c>
      <c r="E505" s="1" t="n">
        <v>46263</v>
      </c>
      <c r="F505" t="inlineStr">
        <is>
          <t>KRONOBERGS LÄN</t>
        </is>
      </c>
      <c r="G505" t="inlineStr">
        <is>
          <t>ÄLMHULT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27863-2022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44743</v>
      </c>
      <c r="E506" s="1" t="n">
        <v>46263</v>
      </c>
      <c r="F506" t="inlineStr">
        <is>
          <t>KRONOBERGS LÄN</t>
        </is>
      </c>
      <c r="G506" t="inlineStr">
        <is>
          <t>ÄLMHULT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46263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8434-2023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46263</v>
      </c>
      <c r="F508" t="inlineStr">
        <is>
          <t>KRONOBERGS LÄN</t>
        </is>
      </c>
      <c r="G508" t="inlineStr">
        <is>
          <t>ÄLMHULT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11594-2024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46263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46263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56955-2024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45628</v>
      </c>
      <c r="E511" s="1" t="n">
        <v>46263</v>
      </c>
      <c r="F511" t="inlineStr">
        <is>
          <t>KRONOBERGS LÄN</t>
        </is>
      </c>
      <c r="G511" t="inlineStr">
        <is>
          <t>ÄLMHULT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45311</v>
      </c>
      <c r="E512" s="1" t="n">
        <v>46263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45061</v>
      </c>
      <c r="E513" s="1" t="n">
        <v>46263</v>
      </c>
      <c r="F513" t="inlineStr">
        <is>
          <t>KRONOBERGS LÄN</t>
        </is>
      </c>
      <c r="G513" t="inlineStr">
        <is>
          <t>ÄLMHULT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45638</v>
      </c>
      <c r="E514" s="1" t="n">
        <v>46263</v>
      </c>
      <c r="F514" t="inlineStr">
        <is>
          <t>KRONOBERGS LÄN</t>
        </is>
      </c>
      <c r="G514" t="inlineStr">
        <is>
          <t>ÄLMHULT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59585-2024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45638</v>
      </c>
      <c r="E515" s="1" t="n">
        <v>46263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46263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53203-2024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45612</v>
      </c>
      <c r="E517" s="1" t="n">
        <v>46263</v>
      </c>
      <c r="F517" t="inlineStr">
        <is>
          <t>KRONOBERGS LÄN</t>
        </is>
      </c>
      <c r="G517" t="inlineStr">
        <is>
          <t>ÄLMHULT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46263</v>
      </c>
      <c r="F518" t="inlineStr">
        <is>
          <t>KRONOBERGS LÄN</t>
        </is>
      </c>
      <c r="G518" t="inlineStr">
        <is>
          <t>ÄLMHULT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44942</v>
      </c>
      <c r="E519" s="1" t="n">
        <v>46263</v>
      </c>
      <c r="F519" t="inlineStr">
        <is>
          <t>KRONOBERGS LÄN</t>
        </is>
      </c>
      <c r="G519" t="inlineStr">
        <is>
          <t>ÄLMHULT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46263</v>
      </c>
      <c r="F520" t="inlineStr">
        <is>
          <t>KRONOBERGS LÄN</t>
        </is>
      </c>
      <c r="G520" t="inlineStr">
        <is>
          <t>ÄLMHULT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45653</v>
      </c>
      <c r="E521" s="1" t="n">
        <v>46263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1348-2024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46263</v>
      </c>
      <c r="F522" t="inlineStr">
        <is>
          <t>KRONOBERGS LÄN</t>
        </is>
      </c>
      <c r="G522" t="inlineStr">
        <is>
          <t>ÄLMHULT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46263</v>
      </c>
      <c r="F523" t="inlineStr">
        <is>
          <t>KRONOBERGS LÄN</t>
        </is>
      </c>
      <c r="G523" t="inlineStr">
        <is>
          <t>ÄLMHULT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14280-2023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45010</v>
      </c>
      <c r="E524" s="1" t="n">
        <v>46263</v>
      </c>
      <c r="F524" t="inlineStr">
        <is>
          <t>KRONOBERGS LÄN</t>
        </is>
      </c>
      <c r="G524" t="inlineStr">
        <is>
          <t>ÄLMHULT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46263</v>
      </c>
      <c r="F525" t="inlineStr">
        <is>
          <t>KRONOBERGS LÄN</t>
        </is>
      </c>
      <c r="G525" t="inlineStr">
        <is>
          <t>ÄLMHULT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49442-2024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46263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62812-2023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46263</v>
      </c>
      <c r="F527" t="inlineStr">
        <is>
          <t>KRONOBERGS LÄN</t>
        </is>
      </c>
      <c r="G527" t="inlineStr">
        <is>
          <t>ÄLMHULT</t>
        </is>
      </c>
      <c r="I527" t="n">
        <v>8.4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45547</v>
      </c>
      <c r="E528" s="1" t="n">
        <v>46263</v>
      </c>
      <c r="F528" t="inlineStr">
        <is>
          <t>KRONOBERGS LÄN</t>
        </is>
      </c>
      <c r="G528" t="inlineStr">
        <is>
          <t>ÄLMHULT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46263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53113-2023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45228</v>
      </c>
      <c r="E530" s="1" t="n">
        <v>46263</v>
      </c>
      <c r="F530" t="inlineStr">
        <is>
          <t>KRONOBERGS LÄN</t>
        </is>
      </c>
      <c r="G530" t="inlineStr">
        <is>
          <t>ÄLMHULT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46263</v>
      </c>
      <c r="F531" t="inlineStr">
        <is>
          <t>KRONOBERGS LÄN</t>
        </is>
      </c>
      <c r="G531" t="inlineStr">
        <is>
          <t>ÄLMHULT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62172-2022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44922</v>
      </c>
      <c r="E532" s="1" t="n">
        <v>46263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45680</v>
      </c>
      <c r="E533" s="1" t="n">
        <v>46263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50073-2023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46263</v>
      </c>
      <c r="F534" t="inlineStr">
        <is>
          <t>KRONOBERGS LÄN</t>
        </is>
      </c>
      <c r="G534" t="inlineStr">
        <is>
          <t>ÄLMHULT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45303</v>
      </c>
      <c r="E535" s="1" t="n">
        <v>46263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46263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46263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48156-2024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45589</v>
      </c>
      <c r="E538" s="1" t="n">
        <v>46263</v>
      </c>
      <c r="F538" t="inlineStr">
        <is>
          <t>KRONOBERGS LÄN</t>
        </is>
      </c>
      <c r="G538" t="inlineStr">
        <is>
          <t>ÄLMHULT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46263</v>
      </c>
      <c r="F539" t="inlineStr">
        <is>
          <t>KRONOBERGS LÄN</t>
        </is>
      </c>
      <c r="G539" t="inlineStr">
        <is>
          <t>ÄLMHULT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31872-2022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44777</v>
      </c>
      <c r="E540" s="1" t="n">
        <v>46263</v>
      </c>
      <c r="F540" t="inlineStr">
        <is>
          <t>KRONOBERGS LÄN</t>
        </is>
      </c>
      <c r="G540" t="inlineStr">
        <is>
          <t>ÄLMHULT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61968-2024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45653</v>
      </c>
      <c r="E541" s="1" t="n">
        <v>46263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46147</v>
      </c>
      <c r="E542" s="1" t="n">
        <v>46263</v>
      </c>
      <c r="F542" t="inlineStr">
        <is>
          <t>KRONOBERGS LÄN</t>
        </is>
      </c>
      <c r="G542" t="inlineStr">
        <is>
          <t>ÄLMHULT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45706</v>
      </c>
      <c r="E543" s="1" t="n">
        <v>46263</v>
      </c>
      <c r="F543" t="inlineStr">
        <is>
          <t>KRONOBERGS LÄN</t>
        </is>
      </c>
      <c r="G543" t="inlineStr">
        <is>
          <t>ÄLMHULT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46141</v>
      </c>
      <c r="E544" s="1" t="n">
        <v>46263</v>
      </c>
      <c r="F544" t="inlineStr">
        <is>
          <t>KRONOBERGS LÄN</t>
        </is>
      </c>
      <c r="G544" t="inlineStr">
        <is>
          <t>ÄLMHULT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45443</v>
      </c>
      <c r="E545" s="1" t="n">
        <v>46263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45734</v>
      </c>
      <c r="E546" s="1" t="n">
        <v>46263</v>
      </c>
      <c r="F546" t="inlineStr">
        <is>
          <t>KRONOBERGS LÄN</t>
        </is>
      </c>
      <c r="G546" t="inlineStr">
        <is>
          <t>ÄLMHULT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62122-2022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44921</v>
      </c>
      <c r="E547" s="1" t="n">
        <v>46263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45378</v>
      </c>
      <c r="E548" s="1" t="n">
        <v>46263</v>
      </c>
      <c r="F548" t="inlineStr">
        <is>
          <t>KRONOBERGS LÄN</t>
        </is>
      </c>
      <c r="G548" t="inlineStr">
        <is>
          <t>ÄLMHULT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44817</v>
      </c>
      <c r="E549" s="1" t="n">
        <v>46263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46263</v>
      </c>
      <c r="F550" t="inlineStr">
        <is>
          <t>KRONOBERGS LÄN</t>
        </is>
      </c>
      <c r="G550" t="inlineStr">
        <is>
          <t>ÄLMHULT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45759</v>
      </c>
      <c r="E551" s="1" t="n">
        <v>46263</v>
      </c>
      <c r="F551" t="inlineStr">
        <is>
          <t>KRONOBERGS LÄN</t>
        </is>
      </c>
      <c r="G551" t="inlineStr">
        <is>
          <t>ÄLMHULT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45314</v>
      </c>
      <c r="E552" s="1" t="n">
        <v>46263</v>
      </c>
      <c r="F552" t="inlineStr">
        <is>
          <t>KRONOBERGS LÄN</t>
        </is>
      </c>
      <c r="G552" t="inlineStr">
        <is>
          <t>ÄLMHULT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46263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46263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46263</v>
      </c>
      <c r="F555" t="inlineStr">
        <is>
          <t>KRONOBERGS LÄN</t>
        </is>
      </c>
      <c r="G555" t="inlineStr">
        <is>
          <t>ÄLMHULT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43140-2024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45567</v>
      </c>
      <c r="E556" s="1" t="n">
        <v>46263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45315</v>
      </c>
      <c r="E557" s="1" t="n">
        <v>46263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44928</v>
      </c>
      <c r="E558" s="1" t="n">
        <v>46263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46263</v>
      </c>
      <c r="F559" t="inlineStr">
        <is>
          <t>KRONOBERGS LÄN</t>
        </is>
      </c>
      <c r="G559" t="inlineStr">
        <is>
          <t>ÄLMHULT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45680</v>
      </c>
      <c r="E560" s="1" t="n">
        <v>46263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45663</v>
      </c>
      <c r="E561" s="1" t="n">
        <v>46263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45776</v>
      </c>
      <c r="E562" s="1" t="n">
        <v>46263</v>
      </c>
      <c r="F562" t="inlineStr">
        <is>
          <t>KRONOBERGS LÄN</t>
        </is>
      </c>
      <c r="G562" t="inlineStr">
        <is>
          <t>ÄLMHULT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46263</v>
      </c>
      <c r="F563" t="inlineStr">
        <is>
          <t>KRONOBERGS LÄN</t>
        </is>
      </c>
      <c r="G563" t="inlineStr">
        <is>
          <t>ÄLMHULT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46263</v>
      </c>
      <c r="F564" t="inlineStr">
        <is>
          <t>KRONOBERGS LÄN</t>
        </is>
      </c>
      <c r="G564" t="inlineStr">
        <is>
          <t>ÄLMHULT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46263</v>
      </c>
      <c r="F565" t="inlineStr">
        <is>
          <t>KRONOBERGS LÄN</t>
        </is>
      </c>
      <c r="G565" t="inlineStr">
        <is>
          <t>ÄLMHULT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46263</v>
      </c>
      <c r="F566" t="inlineStr">
        <is>
          <t>KRONOBERGS LÄN</t>
        </is>
      </c>
      <c r="G566" t="inlineStr">
        <is>
          <t>ÄLMHULT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46263</v>
      </c>
      <c r="F567" t="inlineStr">
        <is>
          <t>KRONOBERGS LÄN</t>
        </is>
      </c>
      <c r="G567" t="inlineStr">
        <is>
          <t>ÄLMHULT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50805-2025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45946</v>
      </c>
      <c r="E568" s="1" t="n">
        <v>46263</v>
      </c>
      <c r="F568" t="inlineStr">
        <is>
          <t>KRONOBERGS LÄN</t>
        </is>
      </c>
      <c r="G568" t="inlineStr">
        <is>
          <t>ÄLMHULT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43467-2025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45911</v>
      </c>
      <c r="E569" s="1" t="n">
        <v>46263</v>
      </c>
      <c r="F569" t="inlineStr">
        <is>
          <t>KRONOBERGS LÄN</t>
        </is>
      </c>
      <c r="G569" t="inlineStr">
        <is>
          <t>ÄLMHULT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46226</v>
      </c>
      <c r="E570" s="1" t="n">
        <v>46263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46263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46263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46227</v>
      </c>
      <c r="E573" s="1" t="n">
        <v>46263</v>
      </c>
      <c r="F573" t="inlineStr">
        <is>
          <t>KRONOBERGS LÄN</t>
        </is>
      </c>
      <c r="G573" t="inlineStr">
        <is>
          <t>ÄLMHULT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46227</v>
      </c>
      <c r="E574" s="1" t="n">
        <v>46263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26789-2026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46263</v>
      </c>
      <c r="F575" t="inlineStr">
        <is>
          <t>KRONOBERGS LÄN</t>
        </is>
      </c>
      <c r="G575" t="inlineStr">
        <is>
          <t>ÄLMHULT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46263</v>
      </c>
      <c r="F576" t="inlineStr">
        <is>
          <t>KRONOBERGS LÄN</t>
        </is>
      </c>
      <c r="G576" t="inlineStr">
        <is>
          <t>ÄLMHULT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32126-2026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46234</v>
      </c>
      <c r="E577" s="1" t="n">
        <v>46263</v>
      </c>
      <c r="F577" t="inlineStr">
        <is>
          <t>KRONOBERGS LÄN</t>
        </is>
      </c>
      <c r="G577" t="inlineStr">
        <is>
          <t>ÄLMHULT</t>
        </is>
      </c>
      <c r="H577" t="inlineStr">
        <is>
          <t>Kommuner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45792</v>
      </c>
      <c r="E578" s="1" t="n">
        <v>46263</v>
      </c>
      <c r="F578" t="inlineStr">
        <is>
          <t>KRONOBERGS LÄN</t>
        </is>
      </c>
      <c r="G578" t="inlineStr">
        <is>
          <t>ÄLMHULT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46263</v>
      </c>
      <c r="F579" t="inlineStr">
        <is>
          <t>KRONOBERGS LÄN</t>
        </is>
      </c>
      <c r="G579" t="inlineStr">
        <is>
          <t>ÄLMHULT</t>
        </is>
      </c>
      <c r="H579" t="inlineStr">
        <is>
          <t>Kyrkan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46263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46263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46263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46263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46263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46263</v>
      </c>
      <c r="F585" t="inlineStr">
        <is>
          <t>KRONOBERGS LÄN</t>
        </is>
      </c>
      <c r="G585" t="inlineStr">
        <is>
          <t>ÄLMHULT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46263</v>
      </c>
      <c r="F586" t="inlineStr">
        <is>
          <t>KRONOBERGS LÄN</t>
        </is>
      </c>
      <c r="G586" t="inlineStr">
        <is>
          <t>ÄLMHULT</t>
        </is>
      </c>
      <c r="H586" t="inlineStr">
        <is>
          <t>Kyrkan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46246</v>
      </c>
      <c r="E587" s="1" t="n">
        <v>46263</v>
      </c>
      <c r="F587" t="inlineStr">
        <is>
          <t>KRONOBERGS LÄN</t>
        </is>
      </c>
      <c r="G587" t="inlineStr">
        <is>
          <t>ÄLMHULT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46263</v>
      </c>
      <c r="F588" t="inlineStr">
        <is>
          <t>KRONOBERGS LÄN</t>
        </is>
      </c>
      <c r="G588" t="inlineStr">
        <is>
          <t>ÄLMHULT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46263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46263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46263</v>
      </c>
      <c r="F591" t="inlineStr">
        <is>
          <t>KRONOBERGS LÄN</t>
        </is>
      </c>
      <c r="G591" t="inlineStr">
        <is>
          <t>ÄLMHULT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46263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46247</v>
      </c>
      <c r="E593" s="1" t="n">
        <v>46263</v>
      </c>
      <c r="F593" t="inlineStr">
        <is>
          <t>KRONOBERGS LÄN</t>
        </is>
      </c>
      <c r="G593" t="inlineStr">
        <is>
          <t>ÄLMHULT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46263</v>
      </c>
      <c r="F594" t="inlineStr">
        <is>
          <t>KRONOBERGS LÄN</t>
        </is>
      </c>
      <c r="G594" t="inlineStr">
        <is>
          <t>ÄLMHULT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46263</v>
      </c>
      <c r="F595" t="inlineStr">
        <is>
          <t>KRONOBERGS LÄN</t>
        </is>
      </c>
      <c r="G595" t="inlineStr">
        <is>
          <t>ÄLMHULT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29636-2026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46263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46263</v>
      </c>
      <c r="F597" t="inlineStr">
        <is>
          <t>KRONOBERGS LÄN</t>
        </is>
      </c>
      <c r="G597" t="inlineStr">
        <is>
          <t>ÄLMHULT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46263</v>
      </c>
      <c r="F598" t="inlineStr">
        <is>
          <t>KRONOBERGS LÄN</t>
        </is>
      </c>
      <c r="G598" t="inlineStr">
        <is>
          <t>ÄLMHULT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46263</v>
      </c>
      <c r="F599" t="inlineStr">
        <is>
          <t>KRONOBERGS LÄN</t>
        </is>
      </c>
      <c r="G599" t="inlineStr">
        <is>
          <t>ÄLMHULT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46263</v>
      </c>
      <c r="F600" t="inlineStr">
        <is>
          <t>KRONOBERGS LÄN</t>
        </is>
      </c>
      <c r="G600" t="inlineStr">
        <is>
          <t>ÄLMHULT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46248</v>
      </c>
      <c r="E601" s="1" t="n">
        <v>46263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46263</v>
      </c>
      <c r="F602" t="inlineStr">
        <is>
          <t>KRONOBERGS LÄN</t>
        </is>
      </c>
      <c r="G602" t="inlineStr">
        <is>
          <t>ÄLMHULT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46263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46263</v>
      </c>
      <c r="F604" t="inlineStr">
        <is>
          <t>KRONOBERGS LÄN</t>
        </is>
      </c>
      <c r="G604" t="inlineStr">
        <is>
          <t>ÄLMHULT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46263</v>
      </c>
      <c r="F605" t="inlineStr">
        <is>
          <t>KRONOBERGS LÄN</t>
        </is>
      </c>
      <c r="G605" t="inlineStr">
        <is>
          <t>ÄLMHULT</t>
        </is>
      </c>
      <c r="H605" t="inlineStr">
        <is>
          <t>Kyrkan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46263</v>
      </c>
      <c r="F606" t="inlineStr">
        <is>
          <t>KRONOBERGS LÄN</t>
        </is>
      </c>
      <c r="G606" t="inlineStr">
        <is>
          <t>ÄLMHULT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46263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46257</v>
      </c>
      <c r="E608" s="1" t="n">
        <v>46263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46263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46258</v>
      </c>
      <c r="E610" s="1" t="n">
        <v>46263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46263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46263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46216</v>
      </c>
      <c r="E613" s="1" t="n">
        <v>46263</v>
      </c>
      <c r="F613" t="inlineStr">
        <is>
          <t>KRONOBERGS LÄN</t>
        </is>
      </c>
      <c r="G613" t="inlineStr">
        <is>
          <t>ÄLMHULT</t>
        </is>
      </c>
      <c r="H613" t="inlineStr">
        <is>
          <t>Sveaskog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46216</v>
      </c>
      <c r="E614" s="1" t="n">
        <v>46263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46263</v>
      </c>
      <c r="F615" t="inlineStr">
        <is>
          <t>KRONOBERGS LÄN</t>
        </is>
      </c>
      <c r="G615" t="inlineStr">
        <is>
          <t>ÄLMHULT</t>
        </is>
      </c>
      <c r="H615" t="inlineStr">
        <is>
          <t>Sveaskog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46263</v>
      </c>
      <c r="F616" t="inlineStr">
        <is>
          <t>KRONOBERGS LÄN</t>
        </is>
      </c>
      <c r="G616" t="inlineStr">
        <is>
          <t>ÄLMHULT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46263</v>
      </c>
      <c r="F617" t="inlineStr">
        <is>
          <t>KRONOBERGS LÄN</t>
        </is>
      </c>
      <c r="G617" t="inlineStr">
        <is>
          <t>ÄLMHULT</t>
        </is>
      </c>
      <c r="H617" t="inlineStr">
        <is>
          <t>Sveaskog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46263</v>
      </c>
      <c r="F618" t="inlineStr">
        <is>
          <t>KRONOBERGS LÄN</t>
        </is>
      </c>
      <c r="G618" t="inlineStr">
        <is>
          <t>ÄLMHULT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35478-2026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46263</v>
      </c>
      <c r="F619" t="inlineStr">
        <is>
          <t>KRONOBERGS LÄN</t>
        </is>
      </c>
      <c r="G619" t="inlineStr">
        <is>
          <t>ÄLMHULT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46263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46263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46263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46263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46263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6219-2021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44447</v>
      </c>
      <c r="E625" s="1" t="n">
        <v>46263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7500-2021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44474</v>
      </c>
      <c r="E626" s="1" t="n">
        <v>46263</v>
      </c>
      <c r="F626" t="inlineStr">
        <is>
          <t>KRONOBERGS LÄN</t>
        </is>
      </c>
      <c r="G626" t="inlineStr">
        <is>
          <t>ÄLMHULT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46263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46263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46263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46263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46263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46263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46263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46263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46263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46263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46263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46263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46263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2026-08-29T01:55:39Z</dcterms:created>
  <dcterms:modified xmlns:dcterms="http://purl.org/dc/terms/" xmlns:xsi="http://www.w3.org/2001/XMLSchema-instance" xsi:type="dcterms:W3CDTF">2026-08-29T01:55:40Z</dcterms:modified>
</cp:coreProperties>
</file>