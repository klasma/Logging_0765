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46308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46308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25207-2026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46171</v>
      </c>
      <c r="E11" s="1" t="n">
        <v>46308</v>
      </c>
      <c r="F11" t="inlineStr">
        <is>
          <t>KRONOBERGS LÄN</t>
        </is>
      </c>
      <c r="G11" t="inlineStr">
        <is>
          <t>ÄLMHULT</t>
        </is>
      </c>
      <c r="I11" t="n">
        <v>15.7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Havstulpanlav
Klippfrullania</t>
        </is>
      </c>
      <c r="W11">
        <f>HYPERLINK("https://klasma.github.io/Logging_0765/artfynd/A 25207-2026 artfynd.xlsx", "A 25207-2026")</f>
        <v/>
      </c>
      <c r="X11">
        <f>HYPERLINK("https://klasma.github.io/Logging_0765/kartor/A 25207-2026 karta.png", "A 25207-2026")</f>
        <v/>
      </c>
      <c r="Y11">
        <f>HYPERLINK("https://klasma.github.io/Logging_0765/kartor_geotiff/A 25207-2026 georefererad karta.tif", "A 25207-2026")</f>
        <v/>
      </c>
      <c r="AA11">
        <f>HYPERLINK("https://klasma.github.io/Logging_0765/klagomål/A 25207-2026 FSC-klagomål.docx", "A 25207-2026")</f>
        <v/>
      </c>
      <c r="AB11">
        <f>HYPERLINK("https://klasma.github.io/Logging_0765/klagomålsmail/A 25207-2026 FSC-klagomål mail.docx", "A 25207-2026")</f>
        <v/>
      </c>
      <c r="AC11">
        <f>HYPERLINK("https://klasma.github.io/Logging_0765/tillsyn/A 25207-2026 tillsynsbegäran.docx", "A 25207-2026")</f>
        <v/>
      </c>
      <c r="AD11">
        <f>HYPERLINK("https://klasma.github.io/Logging_0765/tillsynsmail/A 25207-2026 tillsynsbegäran mail.docx", "A 25207-2026")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46308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46308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46308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43196-2023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46308</v>
      </c>
      <c r="F15" t="inlineStr">
        <is>
          <t>KRONOBERGS LÄN</t>
        </is>
      </c>
      <c r="G15" t="inlineStr">
        <is>
          <t>ÄLMHULT</t>
        </is>
      </c>
      <c r="I15" t="n">
        <v>2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Vedtrappmossa
Blåsfliksmossa</t>
        </is>
      </c>
      <c r="W15">
        <f>HYPERLINK("https://klasma.github.io/Logging_0765/artfynd/A 43196-2023 artfynd.xlsx", "A 43196-2023")</f>
        <v/>
      </c>
      <c r="X15">
        <f>HYPERLINK("https://klasma.github.io/Logging_0765/kartor/A 43196-2023 karta.png", "A 43196-2023")</f>
        <v/>
      </c>
      <c r="Y15">
        <f>HYPERLINK("https://klasma.github.io/Logging_0765/kartor_geotiff/A 43196-2023 georefererad karta.tif", "A 43196-2023")</f>
        <v/>
      </c>
      <c r="AA15">
        <f>HYPERLINK("https://klasma.github.io/Logging_0765/klagomål/A 43196-2023 FSC-klagomål.docx", "A 43196-2023")</f>
        <v/>
      </c>
      <c r="AB15">
        <f>HYPERLINK("https://klasma.github.io/Logging_0765/klagomålsmail/A 43196-2023 FSC-klagomål mail.docx", "A 43196-2023")</f>
        <v/>
      </c>
      <c r="AC15">
        <f>HYPERLINK("https://klasma.github.io/Logging_0765/tillsyn/A 43196-2023 tillsynsbegäran.docx", "A 43196-2023")</f>
        <v/>
      </c>
      <c r="AD15">
        <f>HYPERLINK("https://klasma.github.io/Logging_0765/tillsynsmail/A 43196-2023 tillsynsbegäran mail.docx", "A 43196-2023")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46308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54633-2022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44883</v>
      </c>
      <c r="E17" s="1" t="n">
        <v>46308</v>
      </c>
      <c r="F17" t="inlineStr">
        <is>
          <t>KRONOBERGS LÄN</t>
        </is>
      </c>
      <c r="G17" t="inlineStr">
        <is>
          <t>ÄLMHULT</t>
        </is>
      </c>
      <c r="I17" t="n">
        <v>0.6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1</v>
      </c>
      <c r="V17" s="2" t="inlineStr">
        <is>
          <t>Sexfläckig bastardsvärmare
Silverblåvinge</t>
        </is>
      </c>
      <c r="W17">
        <f>HYPERLINK("https://klasma.github.io/Logging_0765/artfynd/A 54633-2022 artfynd.xlsx", "A 54633-2022")</f>
        <v/>
      </c>
      <c r="X17">
        <f>HYPERLINK("https://klasma.github.io/Logging_0765/kartor/A 54633-2022 karta.png", "A 54633-2022")</f>
        <v/>
      </c>
      <c r="Y17">
        <f>HYPERLINK("https://klasma.github.io/Logging_0765/kartor_geotiff/A 54633-2022 georefererad karta.tif", "A 54633-2022")</f>
        <v/>
      </c>
      <c r="AA17">
        <f>HYPERLINK("https://klasma.github.io/Logging_0765/klagomål/A 54633-2022 FSC-klagomål.docx", "A 54633-2022")</f>
        <v/>
      </c>
      <c r="AB17">
        <f>HYPERLINK("https://klasma.github.io/Logging_0765/klagomålsmail/A 54633-2022 FSC-klagomål mail.docx", "A 54633-2022")</f>
        <v/>
      </c>
      <c r="AC17">
        <f>HYPERLINK("https://klasma.github.io/Logging_0765/tillsyn/A 54633-2022 tillsynsbegäran.docx", "A 54633-2022")</f>
        <v/>
      </c>
      <c r="AD17">
        <f>HYPERLINK("https://klasma.github.io/Logging_0765/tillsynsmail/A 54633-2022 tillsynsbegäran mail.docx", "A 54633-2022")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46308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46308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46308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46308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29778-2026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46204</v>
      </c>
      <c r="E22" s="1" t="n">
        <v>46308</v>
      </c>
      <c r="F22" t="inlineStr">
        <is>
          <t>KRONOBERGS LÄN</t>
        </is>
      </c>
      <c r="G22" t="inlineStr">
        <is>
          <t>ÄLMHULT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Utter</t>
        </is>
      </c>
      <c r="W22">
        <f>HYPERLINK("https://klasma.github.io/Logging_0765/artfynd/A 29778-2026 artfynd.xlsx", "A 29778-2026")</f>
        <v/>
      </c>
      <c r="X22">
        <f>HYPERLINK("https://klasma.github.io/Logging_0765/kartor/A 29778-2026 karta.png", "A 29778-2026")</f>
        <v/>
      </c>
      <c r="Y22">
        <f>HYPERLINK("https://klasma.github.io/Logging_0765/kartor_geotiff/A 29778-2026 georefererad karta.tif", "A 29778-2026")</f>
        <v/>
      </c>
      <c r="AA22">
        <f>HYPERLINK("https://klasma.github.io/Logging_0765/klagomål/A 29778-2026 FSC-klagomål.docx", "A 29778-2026")</f>
        <v/>
      </c>
      <c r="AB22">
        <f>HYPERLINK("https://klasma.github.io/Logging_0765/klagomålsmail/A 29778-2026 FSC-klagomål mail.docx", "A 29778-2026")</f>
        <v/>
      </c>
      <c r="AC22">
        <f>HYPERLINK("https://klasma.github.io/Logging_0765/tillsyn/A 29778-2026 tillsynsbegäran.docx", "A 29778-2026")</f>
        <v/>
      </c>
      <c r="AD22">
        <f>HYPERLINK("https://klasma.github.io/Logging_0765/tillsynsmail/A 29778-2026 tillsynsbegäran mail.docx", "A 29778-2026")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46308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46308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46308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46308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39748-2026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46290</v>
      </c>
      <c r="E27" s="1" t="n">
        <v>46308</v>
      </c>
      <c r="F27" t="inlineStr">
        <is>
          <t>KRONOBERGS LÄN</t>
        </is>
      </c>
      <c r="G27" t="inlineStr">
        <is>
          <t>ÄLMHULT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Mindre bastardsvärmare</t>
        </is>
      </c>
      <c r="W27">
        <f>HYPERLINK("https://klasma.github.io/Logging_0765/artfynd/A 39748-2026 artfynd.xlsx", "A 39748-2026")</f>
        <v/>
      </c>
      <c r="X27">
        <f>HYPERLINK("https://klasma.github.io/Logging_0765/kartor/A 39748-2026 karta.png", "A 39748-2026")</f>
        <v/>
      </c>
      <c r="Y27">
        <f>HYPERLINK("https://klasma.github.io/Logging_0765/kartor_geotiff/A 39748-2026 georefererad karta.tif", "A 39748-2026")</f>
        <v/>
      </c>
      <c r="AA27">
        <f>HYPERLINK("https://klasma.github.io/Logging_0765/klagomål/A 39748-2026 FSC-klagomål.docx", "A 39748-2026")</f>
        <v/>
      </c>
      <c r="AB27">
        <f>HYPERLINK("https://klasma.github.io/Logging_0765/klagomålsmail/A 39748-2026 FSC-klagomål mail.docx", "A 39748-2026")</f>
        <v/>
      </c>
      <c r="AC27">
        <f>HYPERLINK("https://klasma.github.io/Logging_0765/tillsyn/A 39748-2026 tillsynsbegäran.docx", "A 39748-2026")</f>
        <v/>
      </c>
      <c r="AD27">
        <f>HYPERLINK("https://klasma.github.io/Logging_0765/tillsynsmail/A 39748-2026 tillsynsbegäran mail.docx", "A 39748-2026")</f>
        <v/>
      </c>
    </row>
    <row r="28" ht="15" customHeight="1">
      <c r="A28" t="inlineStr">
        <is>
          <t>A 58048-2024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46308</v>
      </c>
      <c r="F28" t="inlineStr">
        <is>
          <t>KRONOBERGS LÄN</t>
        </is>
      </c>
      <c r="G28" t="inlineStr">
        <is>
          <t>ÄLMHULT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HYPERLINK("https://klasma.github.io/Logging_0765/artfynd/A 58048-2024 artfynd.xlsx", "A 58048-2024")</f>
        <v/>
      </c>
      <c r="X28">
        <f>HYPERLINK("https://klasma.github.io/Logging_0765/kartor/A 58048-2024 karta.png", "A 58048-2024")</f>
        <v/>
      </c>
      <c r="Y28">
        <f>HYPERLINK("https://klasma.github.io/Logging_0765/kartor_geotiff/A 58048-2024 georefererad karta.tif", "A 58048-2024")</f>
        <v/>
      </c>
      <c r="AA28">
        <f>HYPERLINK("https://klasma.github.io/Logging_0765/klagomål/A 58048-2024 FSC-klagomål.docx", "A 58048-2024")</f>
        <v/>
      </c>
      <c r="AB28">
        <f>HYPERLINK("https://klasma.github.io/Logging_0765/klagomålsmail/A 58048-2024 FSC-klagomål mail.docx", "A 58048-2024")</f>
        <v/>
      </c>
      <c r="AC28">
        <f>HYPERLINK("https://klasma.github.io/Logging_0765/tillsyn/A 58048-2024 tillsynsbegäran.docx", "A 58048-2024")</f>
        <v/>
      </c>
      <c r="AD28">
        <f>HYPERLINK("https://klasma.github.io/Logging_0765/tillsynsmail/A 58048-2024 tillsynsbegäran mail.docx", "A 58048-2024")</f>
        <v/>
      </c>
    </row>
    <row r="29" ht="15" customHeight="1">
      <c r="A29" t="inlineStr">
        <is>
          <t>A 50892-2023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46308</v>
      </c>
      <c r="F29" t="inlineStr">
        <is>
          <t>KRONOBERGS LÄN</t>
        </is>
      </c>
      <c r="G29" t="inlineStr">
        <is>
          <t>ÄLMHULT</t>
        </is>
      </c>
      <c r="I29" t="n">
        <v>83.40000000000001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HYPERLINK("https://klasma.github.io/Logging_0765/artfynd/A 50892-2023 artfynd.xlsx", "A 50892-2023")</f>
        <v/>
      </c>
      <c r="X29">
        <f>HYPERLINK("https://klasma.github.io/Logging_0765/kartor/A 50892-2023 karta.png", "A 50892-2023")</f>
        <v/>
      </c>
      <c r="Y29">
        <f>HYPERLINK("https://klasma.github.io/Logging_0765/kartor_geotiff/A 50892-2023 georefererad karta.tif", "A 50892-2023")</f>
        <v/>
      </c>
      <c r="AA29">
        <f>HYPERLINK("https://klasma.github.io/Logging_0765/klagomål/A 50892-2023 FSC-klagomål.docx", "A 50892-2023")</f>
        <v/>
      </c>
      <c r="AB29">
        <f>HYPERLINK("https://klasma.github.io/Logging_0765/klagomålsmail/A 50892-2023 FSC-klagomål mail.docx", "A 50892-2023")</f>
        <v/>
      </c>
      <c r="AC29">
        <f>HYPERLINK("https://klasma.github.io/Logging_0765/tillsyn/A 50892-2023 tillsynsbegäran.docx", "A 50892-2023")</f>
        <v/>
      </c>
      <c r="AD29">
        <f>HYPERLINK("https://klasma.github.io/Logging_0765/tillsynsmail/A 50892-2023 tillsynsbegäran mail.docx", "A 50892-2023")</f>
        <v/>
      </c>
    </row>
    <row r="30" ht="15" customHeight="1">
      <c r="A30" t="inlineStr">
        <is>
          <t>A 13196-2024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45386</v>
      </c>
      <c r="E30" s="1" t="n">
        <v>46308</v>
      </c>
      <c r="F30" t="inlineStr">
        <is>
          <t>KRONOBERGS LÄN</t>
        </is>
      </c>
      <c r="G30" t="inlineStr">
        <is>
          <t>ÄLMHULT</t>
        </is>
      </c>
      <c r="I30" t="n">
        <v>1.5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Tofsvipa</t>
        </is>
      </c>
      <c r="W30">
        <f>HYPERLINK("https://klasma.github.io/Logging_0765/artfynd/A 13196-2024 artfynd.xlsx", "A 13196-2024")</f>
        <v/>
      </c>
      <c r="X30">
        <f>HYPERLINK("https://klasma.github.io/Logging_0765/kartor/A 13196-2024 karta.png", "A 13196-2024")</f>
        <v/>
      </c>
      <c r="Y30">
        <f>HYPERLINK("https://klasma.github.io/Logging_0765/kartor_geotiff/A 13196-2024 georefererad karta.tif", "A 13196-2024")</f>
        <v/>
      </c>
      <c r="AA30">
        <f>HYPERLINK("https://klasma.github.io/Logging_0765/klagomål/A 13196-2024 FSC-klagomål.docx", "A 13196-2024")</f>
        <v/>
      </c>
      <c r="AB30">
        <f>HYPERLINK("https://klasma.github.io/Logging_0765/klagomålsmail/A 13196-2024 FSC-klagomål mail.docx", "A 13196-2024")</f>
        <v/>
      </c>
      <c r="AC30">
        <f>HYPERLINK("https://klasma.github.io/Logging_0765/tillsyn/A 13196-2024 tillsynsbegäran.docx", "A 13196-2024")</f>
        <v/>
      </c>
      <c r="AD30">
        <f>HYPERLINK("https://klasma.github.io/Logging_0765/tillsynsmail/A 13196-2024 tillsynsbegäran mail.docx", "A 13196-2024")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46308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46308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46308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46308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46308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46308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46308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46308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46308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46308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46308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46308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46308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46308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46308</v>
      </c>
      <c r="F45" t="inlineStr">
        <is>
          <t>KRONOBERGS LÄN</t>
        </is>
      </c>
      <c r="G45" t="inlineStr">
        <is>
          <t>ÄLMHULT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46308</v>
      </c>
      <c r="F46" t="inlineStr">
        <is>
          <t>KRONOBERGS LÄN</t>
        </is>
      </c>
      <c r="G46" t="inlineStr">
        <is>
          <t>ÄLMHULT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46308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46308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46308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46308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46308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46308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46308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46308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46308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46308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46308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46308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46308</v>
      </c>
      <c r="F59" t="inlineStr">
        <is>
          <t>KRONOBERGS LÄN</t>
        </is>
      </c>
      <c r="G59" t="inlineStr">
        <is>
          <t>ÄLMHULT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46308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46308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46308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46308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46308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46308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46308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46308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46308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25812-2022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44733</v>
      </c>
      <c r="E69" s="1" t="n">
        <v>46308</v>
      </c>
      <c r="F69" t="inlineStr">
        <is>
          <t>KRONOBERGS LÄN</t>
        </is>
      </c>
      <c r="G69" t="inlineStr">
        <is>
          <t>ÄLMHULT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46308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46308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46308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46308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46308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46308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46308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46308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46308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46308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46308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46308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46308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46308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46308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46308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46308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46308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46308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46308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46308</v>
      </c>
      <c r="F90" t="inlineStr">
        <is>
          <t>KRONOBERGS LÄN</t>
        </is>
      </c>
      <c r="G90" t="inlineStr">
        <is>
          <t>ÄLMHULT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46308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46308</v>
      </c>
      <c r="F92" t="inlineStr">
        <is>
          <t>KRONOBERGS LÄN</t>
        </is>
      </c>
      <c r="G92" t="inlineStr">
        <is>
          <t>ÄLMHULT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46308</v>
      </c>
      <c r="F93" t="inlineStr">
        <is>
          <t>KRONOBERGS LÄN</t>
        </is>
      </c>
      <c r="G93" t="inlineStr">
        <is>
          <t>ÄLMHULT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45770</v>
      </c>
      <c r="E94" s="1" t="n">
        <v>46308</v>
      </c>
      <c r="F94" t="inlineStr">
        <is>
          <t>KRONOBERGS LÄN</t>
        </is>
      </c>
      <c r="G94" t="inlineStr">
        <is>
          <t>ÄLMHULT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46308</v>
      </c>
      <c r="F95" t="inlineStr">
        <is>
          <t>KRONOBERGS LÄN</t>
        </is>
      </c>
      <c r="G95" t="inlineStr">
        <is>
          <t>ÄLMHULT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46308</v>
      </c>
      <c r="F96" t="inlineStr">
        <is>
          <t>KRONOBERGS LÄN</t>
        </is>
      </c>
      <c r="G96" t="inlineStr">
        <is>
          <t>ÄLMHULT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45759</v>
      </c>
      <c r="E97" s="1" t="n">
        <v>46308</v>
      </c>
      <c r="F97" t="inlineStr">
        <is>
          <t>KRONOBERGS LÄN</t>
        </is>
      </c>
      <c r="G97" t="inlineStr">
        <is>
          <t>ÄLMHULT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46308</v>
      </c>
      <c r="F98" t="inlineStr">
        <is>
          <t>KRONOBERGS LÄN</t>
        </is>
      </c>
      <c r="G98" t="inlineStr">
        <is>
          <t>ÄLMHULT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45531</v>
      </c>
      <c r="E99" s="1" t="n">
        <v>46308</v>
      </c>
      <c r="F99" t="inlineStr">
        <is>
          <t>KRONOBERGS LÄN</t>
        </is>
      </c>
      <c r="G99" t="inlineStr">
        <is>
          <t>ÄLMHULT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45433</v>
      </c>
      <c r="E100" s="1" t="n">
        <v>46308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44897</v>
      </c>
      <c r="E101" s="1" t="n">
        <v>46308</v>
      </c>
      <c r="F101" t="inlineStr">
        <is>
          <t>KRONOBERGS LÄN</t>
        </is>
      </c>
      <c r="G101" t="inlineStr">
        <is>
          <t>ÄLMHULT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46308</v>
      </c>
      <c r="F102" t="inlineStr">
        <is>
          <t>KRONOBERGS LÄN</t>
        </is>
      </c>
      <c r="G102" t="inlineStr">
        <is>
          <t>ÄLMHULT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46308</v>
      </c>
      <c r="F103" t="inlineStr">
        <is>
          <t>KRONOBERGS LÄN</t>
        </is>
      </c>
      <c r="G103" t="inlineStr">
        <is>
          <t>ÄLMHULT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46308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46308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46308</v>
      </c>
      <c r="F106" t="inlineStr">
        <is>
          <t>KRONOBERGS LÄN</t>
        </is>
      </c>
      <c r="G106" t="inlineStr">
        <is>
          <t>ÄLMHULT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46308</v>
      </c>
      <c r="F107" t="inlineStr">
        <is>
          <t>KRONOBERGS LÄN</t>
        </is>
      </c>
      <c r="G107" t="inlineStr">
        <is>
          <t>ÄLMHULT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45401</v>
      </c>
      <c r="E108" s="1" t="n">
        <v>46308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44998</v>
      </c>
      <c r="E109" s="1" t="n">
        <v>46308</v>
      </c>
      <c r="F109" t="inlineStr">
        <is>
          <t>KRONOBERGS LÄN</t>
        </is>
      </c>
      <c r="G109" t="inlineStr">
        <is>
          <t>ÄLMHULT</t>
        </is>
      </c>
      <c r="H109" t="inlineStr">
        <is>
          <t>Sveaskog</t>
        </is>
      </c>
      <c r="I109" t="n">
        <v>9.300000000000001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46308</v>
      </c>
      <c r="F110" t="inlineStr">
        <is>
          <t>KRONOBERGS LÄN</t>
        </is>
      </c>
      <c r="G110" t="inlineStr">
        <is>
          <t>ÄLMHULT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45092</v>
      </c>
      <c r="E111" s="1" t="n">
        <v>46308</v>
      </c>
      <c r="F111" t="inlineStr">
        <is>
          <t>KRONOBERGS LÄN</t>
        </is>
      </c>
      <c r="G111" t="inlineStr">
        <is>
          <t>ÄLMHULT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46308</v>
      </c>
      <c r="F112" t="inlineStr">
        <is>
          <t>KRONOBERGS LÄN</t>
        </is>
      </c>
      <c r="G112" t="inlineStr">
        <is>
          <t>ÄLMHULT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46308</v>
      </c>
      <c r="F113" t="inlineStr">
        <is>
          <t>KRONOBERGS LÄN</t>
        </is>
      </c>
      <c r="G113" t="inlineStr">
        <is>
          <t>ÄLMHULT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46308</v>
      </c>
      <c r="F114" t="inlineStr">
        <is>
          <t>KRONOBERGS LÄN</t>
        </is>
      </c>
      <c r="G114" t="inlineStr">
        <is>
          <t>ÄLMHULT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46308</v>
      </c>
      <c r="F115" t="inlineStr">
        <is>
          <t>KRONOBERGS LÄN</t>
        </is>
      </c>
      <c r="G115" t="inlineStr">
        <is>
          <t>ÄLMHULT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46308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46308</v>
      </c>
      <c r="F117" t="inlineStr">
        <is>
          <t>KRONOBERGS LÄN</t>
        </is>
      </c>
      <c r="G117" t="inlineStr">
        <is>
          <t>ÄLMHULT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46308</v>
      </c>
      <c r="F118" t="inlineStr">
        <is>
          <t>KRONOBERGS LÄN</t>
        </is>
      </c>
      <c r="G118" t="inlineStr">
        <is>
          <t>ÄLMHULT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46308</v>
      </c>
      <c r="F119" t="inlineStr">
        <is>
          <t>KRONOBERGS LÄN</t>
        </is>
      </c>
      <c r="G119" t="inlineStr">
        <is>
          <t>ÄLMHULT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46308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46308</v>
      </c>
      <c r="F121" t="inlineStr">
        <is>
          <t>KRONOBERGS LÄN</t>
        </is>
      </c>
      <c r="G121" t="inlineStr">
        <is>
          <t>ÄLMHULT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46308</v>
      </c>
      <c r="F122" t="inlineStr">
        <is>
          <t>KRONOBERGS LÄN</t>
        </is>
      </c>
      <c r="G122" t="inlineStr">
        <is>
          <t>ÄLMHULT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46308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46308</v>
      </c>
      <c r="F124" t="inlineStr">
        <is>
          <t>KRONOBERGS LÄN</t>
        </is>
      </c>
      <c r="G124" t="inlineStr">
        <is>
          <t>ÄLMHULT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46308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46308</v>
      </c>
      <c r="F126" t="inlineStr">
        <is>
          <t>KRONOBERGS LÄN</t>
        </is>
      </c>
      <c r="G126" t="inlineStr">
        <is>
          <t>ÄLMHULT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46308</v>
      </c>
      <c r="F127" t="inlineStr">
        <is>
          <t>KRONOBERGS LÄN</t>
        </is>
      </c>
      <c r="G127" t="inlineStr">
        <is>
          <t>ÄLMHULT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44921</v>
      </c>
      <c r="E128" s="1" t="n">
        <v>46308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46308</v>
      </c>
      <c r="F129" t="inlineStr">
        <is>
          <t>KRONOBERGS LÄN</t>
        </is>
      </c>
      <c r="G129" t="inlineStr">
        <is>
          <t>ÄLMHULT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44568</v>
      </c>
      <c r="E130" s="1" t="n">
        <v>46308</v>
      </c>
      <c r="F130" t="inlineStr">
        <is>
          <t>KRONOBERGS LÄN</t>
        </is>
      </c>
      <c r="G130" t="inlineStr">
        <is>
          <t>ÄLMHULT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46308</v>
      </c>
      <c r="F131" t="inlineStr">
        <is>
          <t>KRONOBERGS LÄN</t>
        </is>
      </c>
      <c r="G131" t="inlineStr">
        <is>
          <t>ÄLMHULT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46308</v>
      </c>
      <c r="F132" t="inlineStr">
        <is>
          <t>KRONOBERGS LÄN</t>
        </is>
      </c>
      <c r="G132" t="inlineStr">
        <is>
          <t>ÄLMHULT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46308</v>
      </c>
      <c r="F133" t="inlineStr">
        <is>
          <t>KRONOBERGS LÄN</t>
        </is>
      </c>
      <c r="G133" t="inlineStr">
        <is>
          <t>ÄLMHULT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46308</v>
      </c>
      <c r="F134" t="inlineStr">
        <is>
          <t>KRONOBERGS LÄN</t>
        </is>
      </c>
      <c r="G134" t="inlineStr">
        <is>
          <t>ÄLMHULT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46308</v>
      </c>
      <c r="F135" t="inlineStr">
        <is>
          <t>KRONOBERGS LÄN</t>
        </is>
      </c>
      <c r="G135" t="inlineStr">
        <is>
          <t>ÄLMHULT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46308</v>
      </c>
      <c r="F136" t="inlineStr">
        <is>
          <t>KRONOBERGS LÄN</t>
        </is>
      </c>
      <c r="G136" t="inlineStr">
        <is>
          <t>ÄLMHULT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44777</v>
      </c>
      <c r="E137" s="1" t="n">
        <v>46308</v>
      </c>
      <c r="F137" t="inlineStr">
        <is>
          <t>KRONOBERGS LÄN</t>
        </is>
      </c>
      <c r="G137" t="inlineStr">
        <is>
          <t>ÄLMHULT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46308</v>
      </c>
      <c r="F138" t="inlineStr">
        <is>
          <t>KRONOBERGS LÄN</t>
        </is>
      </c>
      <c r="G138" t="inlineStr">
        <is>
          <t>ÄLMHULT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46308</v>
      </c>
      <c r="F139" t="inlineStr">
        <is>
          <t>KRONOBERGS LÄN</t>
        </is>
      </c>
      <c r="G139" t="inlineStr">
        <is>
          <t>ÄLMHULT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46308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46308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46308</v>
      </c>
      <c r="F142" t="inlineStr">
        <is>
          <t>KRONOBERGS LÄN</t>
        </is>
      </c>
      <c r="G142" t="inlineStr">
        <is>
          <t>ÄLMHULT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46308</v>
      </c>
      <c r="F143" t="inlineStr">
        <is>
          <t>KRONOBERGS LÄN</t>
        </is>
      </c>
      <c r="G143" t="inlineStr">
        <is>
          <t>ÄLMHULT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45497</v>
      </c>
      <c r="E144" s="1" t="n">
        <v>46308</v>
      </c>
      <c r="F144" t="inlineStr">
        <is>
          <t>KRONOBERGS LÄN</t>
        </is>
      </c>
      <c r="G144" t="inlineStr">
        <is>
          <t>ÄLMHULT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46308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44621</v>
      </c>
      <c r="E146" s="1" t="n">
        <v>46308</v>
      </c>
      <c r="F146" t="inlineStr">
        <is>
          <t>KRONOBERGS LÄN</t>
        </is>
      </c>
      <c r="G146" t="inlineStr">
        <is>
          <t>ÄLMHULT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44922</v>
      </c>
      <c r="E147" s="1" t="n">
        <v>46308</v>
      </c>
      <c r="F147" t="inlineStr">
        <is>
          <t>KRONOBERGS LÄN</t>
        </is>
      </c>
      <c r="G147" t="inlineStr">
        <is>
          <t>ÄLMHULT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46308</v>
      </c>
      <c r="F148" t="inlineStr">
        <is>
          <t>KRONOBERGS LÄN</t>
        </is>
      </c>
      <c r="G148" t="inlineStr">
        <is>
          <t>ÄLMHULT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45944</v>
      </c>
      <c r="E149" s="1" t="n">
        <v>46308</v>
      </c>
      <c r="F149" t="inlineStr">
        <is>
          <t>KRONOBERGS LÄN</t>
        </is>
      </c>
      <c r="G149" t="inlineStr">
        <is>
          <t>ÄLMHULT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46308</v>
      </c>
      <c r="F150" t="inlineStr">
        <is>
          <t>KRONOBERGS LÄN</t>
        </is>
      </c>
      <c r="G150" t="inlineStr">
        <is>
          <t>ÄLMHULT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46308</v>
      </c>
      <c r="F151" t="inlineStr">
        <is>
          <t>KRONOBERGS LÄN</t>
        </is>
      </c>
      <c r="G151" t="inlineStr">
        <is>
          <t>ÄLMHULT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46308</v>
      </c>
      <c r="F152" t="inlineStr">
        <is>
          <t>KRONOBERGS LÄN</t>
        </is>
      </c>
      <c r="G152" t="inlineStr">
        <is>
          <t>ÄLMHULT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46308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46308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46308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46308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45348</v>
      </c>
      <c r="E157" s="1" t="n">
        <v>46308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46308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46308</v>
      </c>
      <c r="F159" t="inlineStr">
        <is>
          <t>KRONOBERGS LÄN</t>
        </is>
      </c>
      <c r="G159" t="inlineStr">
        <is>
          <t>ÄLMHULT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44529</v>
      </c>
      <c r="E160" s="1" t="n">
        <v>46308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46308</v>
      </c>
      <c r="F161" t="inlineStr">
        <is>
          <t>KRONOBERGS LÄN</t>
        </is>
      </c>
      <c r="G161" t="inlineStr">
        <is>
          <t>ÄLMHULT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46308</v>
      </c>
      <c r="F162" t="inlineStr">
        <is>
          <t>KRONOBERGS LÄN</t>
        </is>
      </c>
      <c r="G162" t="inlineStr">
        <is>
          <t>ÄLMHULT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  <c r="Z162">
        <f>HYPERLINK("https://klasma.github.io/Logging_0765/knärot/A 27756-2023 karta knärot.png", "A 27756-2023")</f>
        <v/>
      </c>
      <c r="AA162">
        <f>HYPERLINK("https://klasma.github.io/Logging_0765/klagomål/A 27756-2023 FSC-klagomål.docx", "A 27756-2023")</f>
        <v/>
      </c>
      <c r="AB162">
        <f>HYPERLINK("https://klasma.github.io/Logging_0765/klagomålsmail/A 27756-2023 FSC-klagomål mail.docx", "A 27756-2023")</f>
        <v/>
      </c>
      <c r="AC162">
        <f>HYPERLINK("https://klasma.github.io/Logging_0765/tillsyn/A 27756-2023 tillsynsbegäran.docx", "A 27756-2023")</f>
        <v/>
      </c>
      <c r="AD162">
        <f>HYPERLINK("https://klasma.github.io/Logging_0765/tillsynsmail/A 27756-2023 tillsynsbegäran mail.docx", "A 27756-2023")</f>
        <v/>
      </c>
    </row>
    <row r="163" ht="15" customHeight="1">
      <c r="A163" t="inlineStr">
        <is>
          <t>A 28686-2026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46308</v>
      </c>
      <c r="F163" t="inlineStr">
        <is>
          <t>KRONOBERGS LÄN</t>
        </is>
      </c>
      <c r="G163" t="inlineStr">
        <is>
          <t>ÄLMHULT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46308</v>
      </c>
      <c r="F164" t="inlineStr">
        <is>
          <t>KRONOBERGS LÄN</t>
        </is>
      </c>
      <c r="G164" t="inlineStr">
        <is>
          <t>ÄLMHULT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46308</v>
      </c>
      <c r="F165" t="inlineStr">
        <is>
          <t>KRONOBERGS LÄN</t>
        </is>
      </c>
      <c r="G165" t="inlineStr">
        <is>
          <t>ÄLMHULT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46308</v>
      </c>
      <c r="F166" t="inlineStr">
        <is>
          <t>KRONOBERGS LÄN</t>
        </is>
      </c>
      <c r="G166" t="inlineStr">
        <is>
          <t>ÄLMHULT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46308</v>
      </c>
      <c r="F167" t="inlineStr">
        <is>
          <t>KRONOBERGS LÄN</t>
        </is>
      </c>
      <c r="G167" t="inlineStr">
        <is>
          <t>ÄLMHULT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45735</v>
      </c>
      <c r="E168" s="1" t="n">
        <v>46308</v>
      </c>
      <c r="F168" t="inlineStr">
        <is>
          <t>KRONOBERGS LÄN</t>
        </is>
      </c>
      <c r="G168" t="inlineStr">
        <is>
          <t>ÄLMHULT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46308</v>
      </c>
      <c r="F169" t="inlineStr">
        <is>
          <t>KRONOBERGS LÄN</t>
        </is>
      </c>
      <c r="G169" t="inlineStr">
        <is>
          <t>ÄLMHULT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46308</v>
      </c>
      <c r="F170" t="inlineStr">
        <is>
          <t>KRONOBERGS LÄN</t>
        </is>
      </c>
      <c r="G170" t="inlineStr">
        <is>
          <t>ÄLMHULT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46308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46308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46308</v>
      </c>
      <c r="F173" t="inlineStr">
        <is>
          <t>KRONOBERGS LÄN</t>
        </is>
      </c>
      <c r="G173" t="inlineStr">
        <is>
          <t>ÄLMHULT</t>
        </is>
      </c>
      <c r="H173" t="inlineStr">
        <is>
          <t>Kyrkan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45776</v>
      </c>
      <c r="E174" s="1" t="n">
        <v>46308</v>
      </c>
      <c r="F174" t="inlineStr">
        <is>
          <t>KRONOBERGS LÄN</t>
        </is>
      </c>
      <c r="G174" t="inlineStr">
        <is>
          <t>ÄLMHULT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45663</v>
      </c>
      <c r="E175" s="1" t="n">
        <v>46308</v>
      </c>
      <c r="F175" t="inlineStr">
        <is>
          <t>KRONOBERGS LÄN</t>
        </is>
      </c>
      <c r="G175" t="inlineStr">
        <is>
          <t>ÄLMHULT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60621-2021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44496</v>
      </c>
      <c r="E176" s="1" t="n">
        <v>46308</v>
      </c>
      <c r="F176" t="inlineStr">
        <is>
          <t>KRONOBERGS LÄN</t>
        </is>
      </c>
      <c r="G176" t="inlineStr">
        <is>
          <t>ÄLMHULT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46308</v>
      </c>
      <c r="F177" t="inlineStr">
        <is>
          <t>KRONOBERGS LÄN</t>
        </is>
      </c>
      <c r="G177" t="inlineStr">
        <is>
          <t>ÄLMHULT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46308</v>
      </c>
      <c r="F178" t="inlineStr">
        <is>
          <t>KRONOBERGS LÄN</t>
        </is>
      </c>
      <c r="G178" t="inlineStr">
        <is>
          <t>ÄLMHULT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46308</v>
      </c>
      <c r="F179" t="inlineStr">
        <is>
          <t>KRONOBERGS LÄN</t>
        </is>
      </c>
      <c r="G179" t="inlineStr">
        <is>
          <t>ÄLMHULT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46308</v>
      </c>
      <c r="F180" t="inlineStr">
        <is>
          <t>KRONOBERGS LÄN</t>
        </is>
      </c>
      <c r="G180" t="inlineStr">
        <is>
          <t>ÄLMHULT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46308</v>
      </c>
      <c r="F181" t="inlineStr">
        <is>
          <t>KRONOBERGS LÄN</t>
        </is>
      </c>
      <c r="G181" t="inlineStr">
        <is>
          <t>ÄLMHULT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45781</v>
      </c>
      <c r="E182" s="1" t="n">
        <v>46308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46308</v>
      </c>
      <c r="F183" t="inlineStr">
        <is>
          <t>KRONOBERGS LÄN</t>
        </is>
      </c>
      <c r="G183" t="inlineStr">
        <is>
          <t>ÄLMHULT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46308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45407</v>
      </c>
      <c r="E185" s="1" t="n">
        <v>46308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45969</v>
      </c>
      <c r="E186" s="1" t="n">
        <v>46308</v>
      </c>
      <c r="F186" t="inlineStr">
        <is>
          <t>KRONOBERGS LÄN</t>
        </is>
      </c>
      <c r="G186" t="inlineStr">
        <is>
          <t>ÄLMHULT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45969</v>
      </c>
      <c r="E187" s="1" t="n">
        <v>46308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46204</v>
      </c>
      <c r="E188" s="1" t="n">
        <v>46308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46204</v>
      </c>
      <c r="E189" s="1" t="n">
        <v>46308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46204</v>
      </c>
      <c r="E190" s="1" t="n">
        <v>46308</v>
      </c>
      <c r="F190" t="inlineStr">
        <is>
          <t>KRONOBERGS LÄN</t>
        </is>
      </c>
      <c r="G190" t="inlineStr">
        <is>
          <t>ÄLMHULT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46204</v>
      </c>
      <c r="E191" s="1" t="n">
        <v>46308</v>
      </c>
      <c r="F191" t="inlineStr">
        <is>
          <t>KRONOBERGS LÄN</t>
        </is>
      </c>
      <c r="G191" t="inlineStr">
        <is>
          <t>ÄLMHULT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46204</v>
      </c>
      <c r="E192" s="1" t="n">
        <v>46308</v>
      </c>
      <c r="F192" t="inlineStr">
        <is>
          <t>KRONOBERGS LÄN</t>
        </is>
      </c>
      <c r="G192" t="inlineStr">
        <is>
          <t>ÄLMHULT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46308</v>
      </c>
      <c r="F193" t="inlineStr">
        <is>
          <t>KRONOBERGS LÄN</t>
        </is>
      </c>
      <c r="G193" t="inlineStr">
        <is>
          <t>ÄLMHULT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46308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46308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46308</v>
      </c>
      <c r="F196" t="inlineStr">
        <is>
          <t>KRONOBERGS LÄN</t>
        </is>
      </c>
      <c r="G196" t="inlineStr">
        <is>
          <t>ÄLMHULT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46308</v>
      </c>
      <c r="F197" t="inlineStr">
        <is>
          <t>KRONOBERGS LÄN</t>
        </is>
      </c>
      <c r="G197" t="inlineStr">
        <is>
          <t>ÄLMHULT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46308</v>
      </c>
      <c r="F198" t="inlineStr">
        <is>
          <t>KRONOBERGS LÄN</t>
        </is>
      </c>
      <c r="G198" t="inlineStr">
        <is>
          <t>ÄLMHULT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46308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46308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46216</v>
      </c>
      <c r="E201" s="1" t="n">
        <v>46308</v>
      </c>
      <c r="F201" t="inlineStr">
        <is>
          <t>KRONOBERGS LÄN</t>
        </is>
      </c>
      <c r="G201" t="inlineStr">
        <is>
          <t>ÄLMHULT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31113-2026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46216</v>
      </c>
      <c r="E202" s="1" t="n">
        <v>46308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46308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46308</v>
      </c>
      <c r="F204" t="inlineStr">
        <is>
          <t>KRONOBERGS LÄN</t>
        </is>
      </c>
      <c r="G204" t="inlineStr">
        <is>
          <t>ÄLMHULT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46216</v>
      </c>
      <c r="E205" s="1" t="n">
        <v>46308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46308</v>
      </c>
      <c r="F206" t="inlineStr">
        <is>
          <t>KRONOBERGS LÄN</t>
        </is>
      </c>
      <c r="G206" t="inlineStr">
        <is>
          <t>ÄLMHULT</t>
        </is>
      </c>
      <c r="H206" t="inlineStr">
        <is>
          <t>Kyrkan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46308</v>
      </c>
      <c r="F207" t="inlineStr">
        <is>
          <t>KRONOBERGS LÄN</t>
        </is>
      </c>
      <c r="G207" t="inlineStr">
        <is>
          <t>ÄLMHULT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59803-2025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45992</v>
      </c>
      <c r="E208" s="1" t="n">
        <v>46308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46308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46267</v>
      </c>
      <c r="E210" s="1" t="n">
        <v>46308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44610</v>
      </c>
      <c r="E211" s="1" t="n">
        <v>46308</v>
      </c>
      <c r="F211" t="inlineStr">
        <is>
          <t>KRONOBERGS LÄN</t>
        </is>
      </c>
      <c r="G211" t="inlineStr">
        <is>
          <t>ÄLMHULT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59771-2025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45992</v>
      </c>
      <c r="E212" s="1" t="n">
        <v>46308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64618-2021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44511</v>
      </c>
      <c r="E213" s="1" t="n">
        <v>46308</v>
      </c>
      <c r="F213" t="inlineStr">
        <is>
          <t>KRONOBERGS LÄN</t>
        </is>
      </c>
      <c r="G213" t="inlineStr">
        <is>
          <t>ÄLMHULT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64624-2021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46308</v>
      </c>
      <c r="F214" t="inlineStr">
        <is>
          <t>KRONOBERGS LÄN</t>
        </is>
      </c>
      <c r="G214" t="inlineStr">
        <is>
          <t>ÄLMHULT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59780-2025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45992</v>
      </c>
      <c r="E215" s="1" t="n">
        <v>46308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46308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45702</v>
      </c>
      <c r="E217" s="1" t="n">
        <v>46308</v>
      </c>
      <c r="F217" t="inlineStr">
        <is>
          <t>KRONOBERGS LÄN</t>
        </is>
      </c>
      <c r="G217" t="inlineStr">
        <is>
          <t>ÄLMHULT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46268</v>
      </c>
      <c r="E218" s="1" t="n">
        <v>46308</v>
      </c>
      <c r="F218" t="inlineStr">
        <is>
          <t>KRONOBERGS LÄN</t>
        </is>
      </c>
      <c r="G218" t="inlineStr">
        <is>
          <t>ÄLMHULT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44826</v>
      </c>
      <c r="E219" s="1" t="n">
        <v>46308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46308</v>
      </c>
      <c r="F220" t="inlineStr">
        <is>
          <t>KRONOBERGS LÄN</t>
        </is>
      </c>
      <c r="G220" t="inlineStr">
        <is>
          <t>ÄLMHULT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44962</v>
      </c>
      <c r="E221" s="1" t="n">
        <v>46308</v>
      </c>
      <c r="F221" t="inlineStr">
        <is>
          <t>KRONOBERGS LÄN</t>
        </is>
      </c>
      <c r="G221" t="inlineStr">
        <is>
          <t>ÄLMHULT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46226</v>
      </c>
      <c r="E222" s="1" t="n">
        <v>46308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46308</v>
      </c>
      <c r="F223" t="inlineStr">
        <is>
          <t>KRONOBERGS LÄN</t>
        </is>
      </c>
      <c r="G223" t="inlineStr">
        <is>
          <t>ÄLMHULT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45663</v>
      </c>
      <c r="E224" s="1" t="n">
        <v>46308</v>
      </c>
      <c r="F224" t="inlineStr">
        <is>
          <t>KRONOBERGS LÄN</t>
        </is>
      </c>
      <c r="G224" t="inlineStr">
        <is>
          <t>ÄLMHULT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46226</v>
      </c>
      <c r="E225" s="1" t="n">
        <v>46308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46226</v>
      </c>
      <c r="E226" s="1" t="n">
        <v>46308</v>
      </c>
      <c r="F226" t="inlineStr">
        <is>
          <t>KRONOBERGS LÄN</t>
        </is>
      </c>
      <c r="G226" t="inlineStr">
        <is>
          <t>ÄLMHULT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46308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46308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46308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46308</v>
      </c>
      <c r="F230" t="inlineStr">
        <is>
          <t>KRONOBERGS LÄN</t>
        </is>
      </c>
      <c r="G230" t="inlineStr">
        <is>
          <t>ÄLMHULT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46227</v>
      </c>
      <c r="E231" s="1" t="n">
        <v>46308</v>
      </c>
      <c r="F231" t="inlineStr">
        <is>
          <t>KRONOBERGS LÄN</t>
        </is>
      </c>
      <c r="G231" t="inlineStr">
        <is>
          <t>ÄLMHULT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46227</v>
      </c>
      <c r="E232" s="1" t="n">
        <v>46308</v>
      </c>
      <c r="F232" t="inlineStr">
        <is>
          <t>KRONOBERGS LÄN</t>
        </is>
      </c>
      <c r="G232" t="inlineStr">
        <is>
          <t>ÄLMHULT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46005</v>
      </c>
      <c r="E233" s="1" t="n">
        <v>46308</v>
      </c>
      <c r="F233" t="inlineStr">
        <is>
          <t>KRONOBERGS LÄN</t>
        </is>
      </c>
      <c r="G233" t="inlineStr">
        <is>
          <t>ÄLMHULT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27334-2025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45812</v>
      </c>
      <c r="E234" s="1" t="n">
        <v>46308</v>
      </c>
      <c r="F234" t="inlineStr">
        <is>
          <t>KRONOBERGS LÄN</t>
        </is>
      </c>
      <c r="G234" t="inlineStr">
        <is>
          <t>ÄLMHULT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45548</v>
      </c>
      <c r="E235" s="1" t="n">
        <v>46308</v>
      </c>
      <c r="F235" t="inlineStr">
        <is>
          <t>KRONOBERGS LÄN</t>
        </is>
      </c>
      <c r="G235" t="inlineStr">
        <is>
          <t>ÄLMHULT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46308</v>
      </c>
      <c r="F236" t="inlineStr">
        <is>
          <t>KRONOBERGS LÄN</t>
        </is>
      </c>
      <c r="G236" t="inlineStr">
        <is>
          <t>ÄLMHULT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46308</v>
      </c>
      <c r="F237" t="inlineStr">
        <is>
          <t>KRONOBERGS LÄN</t>
        </is>
      </c>
      <c r="G237" t="inlineStr">
        <is>
          <t>ÄLMHULT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45457</v>
      </c>
      <c r="E238" s="1" t="n">
        <v>46308</v>
      </c>
      <c r="F238" t="inlineStr">
        <is>
          <t>KRONOBERGS LÄN</t>
        </is>
      </c>
      <c r="G238" t="inlineStr">
        <is>
          <t>ÄLMHULT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45457</v>
      </c>
      <c r="E239" s="1" t="n">
        <v>46308</v>
      </c>
      <c r="F239" t="inlineStr">
        <is>
          <t>KRONOBERGS LÄN</t>
        </is>
      </c>
      <c r="G239" t="inlineStr">
        <is>
          <t>ÄLMHULT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32126-2026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46234</v>
      </c>
      <c r="E240" s="1" t="n">
        <v>46308</v>
      </c>
      <c r="F240" t="inlineStr">
        <is>
          <t>KRONOBERGS LÄN</t>
        </is>
      </c>
      <c r="G240" t="inlineStr">
        <is>
          <t>ÄLMHULT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45543</v>
      </c>
      <c r="E241" s="1" t="n">
        <v>46308</v>
      </c>
      <c r="F241" t="inlineStr">
        <is>
          <t>KRONOBERGS LÄN</t>
        </is>
      </c>
      <c r="G241" t="inlineStr">
        <is>
          <t>ÄLMHULT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63742-2025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46016</v>
      </c>
      <c r="E242" s="1" t="n">
        <v>46308</v>
      </c>
      <c r="F242" t="inlineStr">
        <is>
          <t>KRONOBERGS LÄN</t>
        </is>
      </c>
      <c r="G242" t="inlineStr">
        <is>
          <t>ÄLMHULT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45578</v>
      </c>
      <c r="E243" s="1" t="n">
        <v>46308</v>
      </c>
      <c r="F243" t="inlineStr">
        <is>
          <t>KRONOBERGS LÄN</t>
        </is>
      </c>
      <c r="G243" t="inlineStr">
        <is>
          <t>ÄLMHULT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46279</v>
      </c>
      <c r="E244" s="1" t="n">
        <v>46308</v>
      </c>
      <c r="F244" t="inlineStr">
        <is>
          <t>KRONOBERGS LÄN</t>
        </is>
      </c>
      <c r="G244" t="inlineStr">
        <is>
          <t>ÄLMHULT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46308</v>
      </c>
      <c r="F245" t="inlineStr">
        <is>
          <t>KRONOBERGS LÄN</t>
        </is>
      </c>
      <c r="G245" t="inlineStr">
        <is>
          <t>ÄLMHULT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46308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45575</v>
      </c>
      <c r="E247" s="1" t="n">
        <v>46308</v>
      </c>
      <c r="F247" t="inlineStr">
        <is>
          <t>KRONOBERGS LÄN</t>
        </is>
      </c>
      <c r="G247" t="inlineStr">
        <is>
          <t>ÄLMHULT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46308</v>
      </c>
      <c r="F248" t="inlineStr">
        <is>
          <t>KRONOBERGS LÄN</t>
        </is>
      </c>
      <c r="G248" t="inlineStr">
        <is>
          <t>ÄLMHULT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46308</v>
      </c>
      <c r="F249" t="inlineStr">
        <is>
          <t>KRONOBERGS LÄN</t>
        </is>
      </c>
      <c r="G249" t="inlineStr">
        <is>
          <t>ÄLMHULT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46280</v>
      </c>
      <c r="E250" s="1" t="n">
        <v>46308</v>
      </c>
      <c r="F250" t="inlineStr">
        <is>
          <t>KRONOBERGS LÄN</t>
        </is>
      </c>
      <c r="G250" t="inlineStr">
        <is>
          <t>ÄLMHULT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46308</v>
      </c>
      <c r="F251" t="inlineStr">
        <is>
          <t>KRONOBERGS LÄN</t>
        </is>
      </c>
      <c r="G251" t="inlineStr">
        <is>
          <t>ÄLMHULT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46308</v>
      </c>
      <c r="F252" t="inlineStr">
        <is>
          <t>KRONOBERGS LÄN</t>
        </is>
      </c>
      <c r="G252" t="inlineStr">
        <is>
          <t>ÄLMHULT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46308</v>
      </c>
      <c r="F253" t="inlineStr">
        <is>
          <t>KRONOBERGS LÄN</t>
        </is>
      </c>
      <c r="G253" t="inlineStr">
        <is>
          <t>ÄLMHULT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46308</v>
      </c>
      <c r="F254" t="inlineStr">
        <is>
          <t>KRONOBERGS LÄN</t>
        </is>
      </c>
      <c r="G254" t="inlineStr">
        <is>
          <t>ÄLMHULT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45049</v>
      </c>
      <c r="E255" s="1" t="n">
        <v>46308</v>
      </c>
      <c r="F255" t="inlineStr">
        <is>
          <t>KRONOBERGS LÄN</t>
        </is>
      </c>
      <c r="G255" t="inlineStr">
        <is>
          <t>ÄLMHULT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46308</v>
      </c>
      <c r="F256" t="inlineStr">
        <is>
          <t>KRONOBERGS LÄN</t>
        </is>
      </c>
      <c r="G256" t="inlineStr">
        <is>
          <t>ÄLMHULT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44641</v>
      </c>
      <c r="E257" s="1" t="n">
        <v>46308</v>
      </c>
      <c r="F257" t="inlineStr">
        <is>
          <t>KRONOBERGS LÄN</t>
        </is>
      </c>
      <c r="G257" t="inlineStr">
        <is>
          <t>ÄLMHULT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46240</v>
      </c>
      <c r="E258" s="1" t="n">
        <v>46308</v>
      </c>
      <c r="F258" t="inlineStr">
        <is>
          <t>KRONOBERGS LÄN</t>
        </is>
      </c>
      <c r="G258" t="inlineStr">
        <is>
          <t>ÄLMHULT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46308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46308</v>
      </c>
      <c r="F260" t="inlineStr">
        <is>
          <t>KRONOBERGS LÄN</t>
        </is>
      </c>
      <c r="G260" t="inlineStr">
        <is>
          <t>ÄLMHULT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46240</v>
      </c>
      <c r="E261" s="1" t="n">
        <v>46308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46308</v>
      </c>
      <c r="F262" t="inlineStr">
        <is>
          <t>KRONOBERGS LÄN</t>
        </is>
      </c>
      <c r="G262" t="inlineStr">
        <is>
          <t>ÄLMHULT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46240</v>
      </c>
      <c r="E263" s="1" t="n">
        <v>46308</v>
      </c>
      <c r="F263" t="inlineStr">
        <is>
          <t>KRONOBERGS LÄN</t>
        </is>
      </c>
      <c r="G263" t="inlineStr">
        <is>
          <t>ÄLMHULT</t>
        </is>
      </c>
      <c r="H263" t="inlineStr">
        <is>
          <t>Kyrkan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46308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46308</v>
      </c>
      <c r="F265" t="inlineStr">
        <is>
          <t>KRONOBERGS LÄN</t>
        </is>
      </c>
      <c r="G265" t="inlineStr">
        <is>
          <t>ÄLMHULT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45529</v>
      </c>
      <c r="E266" s="1" t="n">
        <v>46308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46308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46308</v>
      </c>
      <c r="F268" t="inlineStr">
        <is>
          <t>KRONOBERGS LÄN</t>
        </is>
      </c>
      <c r="G268" t="inlineStr">
        <is>
          <t>ÄLMHULT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46308</v>
      </c>
      <c r="F269" t="inlineStr">
        <is>
          <t>KRONOBERGS LÄN</t>
        </is>
      </c>
      <c r="G269" t="inlineStr">
        <is>
          <t>ÄLMHULT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46308</v>
      </c>
      <c r="F270" t="inlineStr">
        <is>
          <t>KRONOBERGS LÄN</t>
        </is>
      </c>
      <c r="G270" t="inlineStr">
        <is>
          <t>ÄLMHULT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46308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46308</v>
      </c>
      <c r="F272" t="inlineStr">
        <is>
          <t>KRONOBERGS LÄN</t>
        </is>
      </c>
      <c r="G272" t="inlineStr">
        <is>
          <t>ÄLMHULT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46308</v>
      </c>
      <c r="F273" t="inlineStr">
        <is>
          <t>KRONOBERGS LÄN</t>
        </is>
      </c>
      <c r="G273" t="inlineStr">
        <is>
          <t>ÄLMHULT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46308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45854</v>
      </c>
      <c r="E275" s="1" t="n">
        <v>46308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46308</v>
      </c>
      <c r="F276" t="inlineStr">
        <is>
          <t>KRONOBERGS LÄN</t>
        </is>
      </c>
      <c r="G276" t="inlineStr">
        <is>
          <t>ÄLMHULT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46308</v>
      </c>
      <c r="F277" t="inlineStr">
        <is>
          <t>KRONOBERGS LÄN</t>
        </is>
      </c>
      <c r="G277" t="inlineStr">
        <is>
          <t>ÄLMHULT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45581</v>
      </c>
      <c r="E278" s="1" t="n">
        <v>46308</v>
      </c>
      <c r="F278" t="inlineStr">
        <is>
          <t>KRONOBERGS LÄN</t>
        </is>
      </c>
      <c r="G278" t="inlineStr">
        <is>
          <t>ÄLMHULT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18749-2025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46308</v>
      </c>
      <c r="F279" t="inlineStr">
        <is>
          <t>KRONOBERGS LÄN</t>
        </is>
      </c>
      <c r="G279" t="inlineStr">
        <is>
          <t>ÄLMHULT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46308</v>
      </c>
      <c r="F280" t="inlineStr">
        <is>
          <t>KRONOBERGS LÄN</t>
        </is>
      </c>
      <c r="G280" t="inlineStr">
        <is>
          <t>ÄLMHULT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46308</v>
      </c>
      <c r="F281" t="inlineStr">
        <is>
          <t>KRONOBERGS LÄN</t>
        </is>
      </c>
      <c r="G281" t="inlineStr">
        <is>
          <t>ÄLMHULT</t>
        </is>
      </c>
      <c r="I281" t="n">
        <v>29.1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46308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45812</v>
      </c>
      <c r="E283" s="1" t="n">
        <v>46308</v>
      </c>
      <c r="F283" t="inlineStr">
        <is>
          <t>KRONOBERGS LÄN</t>
        </is>
      </c>
      <c r="G283" t="inlineStr">
        <is>
          <t>ÄLMHULT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45133</v>
      </c>
      <c r="E284" s="1" t="n">
        <v>46308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46308</v>
      </c>
      <c r="F285" t="inlineStr">
        <is>
          <t>KRONOBERGS LÄN</t>
        </is>
      </c>
      <c r="G285" t="inlineStr">
        <is>
          <t>ÄLMHULT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46287</v>
      </c>
      <c r="E286" s="1" t="n">
        <v>46308</v>
      </c>
      <c r="F286" t="inlineStr">
        <is>
          <t>KRONOBERGS LÄN</t>
        </is>
      </c>
      <c r="G286" t="inlineStr">
        <is>
          <t>ÄLMHULT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46308</v>
      </c>
      <c r="F287" t="inlineStr">
        <is>
          <t>KRONOBERGS LÄN</t>
        </is>
      </c>
      <c r="G287" t="inlineStr">
        <is>
          <t>ÄLMHULT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46308</v>
      </c>
      <c r="F288" t="inlineStr">
        <is>
          <t>KRONOBERGS LÄN</t>
        </is>
      </c>
      <c r="G288" t="inlineStr">
        <is>
          <t>ÄLMHULT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46308</v>
      </c>
      <c r="F289" t="inlineStr">
        <is>
          <t>KRONOBERGS LÄN</t>
        </is>
      </c>
      <c r="G289" t="inlineStr">
        <is>
          <t>ÄLMHULT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46308</v>
      </c>
      <c r="F290" t="inlineStr">
        <is>
          <t>KRONOBERGS LÄN</t>
        </is>
      </c>
      <c r="G290" t="inlineStr">
        <is>
          <t>ÄLMHULT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46308</v>
      </c>
      <c r="F291" t="inlineStr">
        <is>
          <t>KRONOBERGS LÄN</t>
        </is>
      </c>
      <c r="G291" t="inlineStr">
        <is>
          <t>ÄLMHULT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46308</v>
      </c>
      <c r="F292" t="inlineStr">
        <is>
          <t>KRONOBERGS LÄN</t>
        </is>
      </c>
      <c r="G292" t="inlineStr">
        <is>
          <t>ÄLMHULT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46308</v>
      </c>
      <c r="F293" t="inlineStr">
        <is>
          <t>KRONOBERGS LÄN</t>
        </is>
      </c>
      <c r="G293" t="inlineStr">
        <is>
          <t>ÄLMHULT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46287</v>
      </c>
      <c r="E294" s="1" t="n">
        <v>46308</v>
      </c>
      <c r="F294" t="inlineStr">
        <is>
          <t>KRONOBERGS LÄN</t>
        </is>
      </c>
      <c r="G294" t="inlineStr">
        <is>
          <t>ÄLMHULT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46287</v>
      </c>
      <c r="E295" s="1" t="n">
        <v>46308</v>
      </c>
      <c r="F295" t="inlineStr">
        <is>
          <t>KRONOBERGS LÄN</t>
        </is>
      </c>
      <c r="G295" t="inlineStr">
        <is>
          <t>ÄLMHULT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46308</v>
      </c>
      <c r="F296" t="inlineStr">
        <is>
          <t>KRONOBERGS LÄN</t>
        </is>
      </c>
      <c r="G296" t="inlineStr">
        <is>
          <t>ÄLMHULT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46283</v>
      </c>
      <c r="E297" s="1" t="n">
        <v>46308</v>
      </c>
      <c r="F297" t="inlineStr">
        <is>
          <t>KRONOBERGS LÄN</t>
        </is>
      </c>
      <c r="G297" t="inlineStr">
        <is>
          <t>ÄLMHULT</t>
        </is>
      </c>
      <c r="I297" t="n">
        <v>9.800000000000001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46308</v>
      </c>
      <c r="F298" t="inlineStr">
        <is>
          <t>KRONOBERGS LÄN</t>
        </is>
      </c>
      <c r="G298" t="inlineStr">
        <is>
          <t>ÄLMHULT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8102-2026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46063</v>
      </c>
      <c r="E299" s="1" t="n">
        <v>46308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46308</v>
      </c>
      <c r="F300" t="inlineStr">
        <is>
          <t>KRONOBERGS LÄN</t>
        </is>
      </c>
      <c r="G300" t="inlineStr">
        <is>
          <t>ÄLMHULT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46287</v>
      </c>
      <c r="E301" s="1" t="n">
        <v>46308</v>
      </c>
      <c r="F301" t="inlineStr">
        <is>
          <t>KRONOBERGS LÄN</t>
        </is>
      </c>
      <c r="G301" t="inlineStr">
        <is>
          <t>ÄLMHULT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46061</v>
      </c>
      <c r="E302" s="1" t="n">
        <v>46308</v>
      </c>
      <c r="F302" t="inlineStr">
        <is>
          <t>KRONOBERGS LÄN</t>
        </is>
      </c>
      <c r="G302" t="inlineStr">
        <is>
          <t>ÄLMHULT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46247</v>
      </c>
      <c r="E303" s="1" t="n">
        <v>46308</v>
      </c>
      <c r="F303" t="inlineStr">
        <is>
          <t>KRONOBERGS LÄN</t>
        </is>
      </c>
      <c r="G303" t="inlineStr">
        <is>
          <t>ÄLMHULT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46308</v>
      </c>
      <c r="F304" t="inlineStr">
        <is>
          <t>KRONOBERGS LÄN</t>
        </is>
      </c>
      <c r="G304" t="inlineStr">
        <is>
          <t>ÄLMHULT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45916</v>
      </c>
      <c r="E305" s="1" t="n">
        <v>46308</v>
      </c>
      <c r="F305" t="inlineStr">
        <is>
          <t>KRONOBERGS LÄN</t>
        </is>
      </c>
      <c r="G305" t="inlineStr">
        <is>
          <t>ÄLMHULT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46308</v>
      </c>
      <c r="F306" t="inlineStr">
        <is>
          <t>KRONOBERGS LÄN</t>
        </is>
      </c>
      <c r="G306" t="inlineStr">
        <is>
          <t>ÄLMHULT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46308</v>
      </c>
      <c r="F307" t="inlineStr">
        <is>
          <t>KRONOBERGS LÄN</t>
        </is>
      </c>
      <c r="G307" t="inlineStr">
        <is>
          <t>ÄLMHULT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46308</v>
      </c>
      <c r="F308" t="inlineStr">
        <is>
          <t>KRONOBERGS LÄN</t>
        </is>
      </c>
      <c r="G308" t="inlineStr">
        <is>
          <t>ÄLMHULT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46308</v>
      </c>
      <c r="F309" t="inlineStr">
        <is>
          <t>KRONOBERGS LÄN</t>
        </is>
      </c>
      <c r="G309" t="inlineStr">
        <is>
          <t>ÄLMHULT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46251</v>
      </c>
      <c r="E310" s="1" t="n">
        <v>46308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46248</v>
      </c>
      <c r="E311" s="1" t="n">
        <v>46308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46293</v>
      </c>
      <c r="E312" s="1" t="n">
        <v>46308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28026-2024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45476</v>
      </c>
      <c r="E313" s="1" t="n">
        <v>46308</v>
      </c>
      <c r="F313" t="inlineStr">
        <is>
          <t>KRONOBERGS LÄN</t>
        </is>
      </c>
      <c r="G313" t="inlineStr">
        <is>
          <t>ÄLMHULT</t>
        </is>
      </c>
      <c r="I313" t="n">
        <v>11.8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46247</v>
      </c>
      <c r="E314" s="1" t="n">
        <v>46308</v>
      </c>
      <c r="F314" t="inlineStr">
        <is>
          <t>KRONOBERGS LÄN</t>
        </is>
      </c>
      <c r="G314" t="inlineStr">
        <is>
          <t>ÄLMHULT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46308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46308</v>
      </c>
      <c r="F316" t="inlineStr">
        <is>
          <t>KRONOBERGS LÄN</t>
        </is>
      </c>
      <c r="G316" t="inlineStr">
        <is>
          <t>ÄLMHULT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46308</v>
      </c>
      <c r="F317" t="inlineStr">
        <is>
          <t>KRONOBERGS LÄN</t>
        </is>
      </c>
      <c r="G317" t="inlineStr">
        <is>
          <t>ÄLMHULT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45175</v>
      </c>
      <c r="E318" s="1" t="n">
        <v>46308</v>
      </c>
      <c r="F318" t="inlineStr">
        <is>
          <t>KRONOBERGS LÄN</t>
        </is>
      </c>
      <c r="G318" t="inlineStr">
        <is>
          <t>ÄLMHULT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46308</v>
      </c>
      <c r="F319" t="inlineStr">
        <is>
          <t>KRONOBERGS LÄN</t>
        </is>
      </c>
      <c r="G319" t="inlineStr">
        <is>
          <t>ÄLMHULT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30322-2025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45827</v>
      </c>
      <c r="E320" s="1" t="n">
        <v>46308</v>
      </c>
      <c r="F320" t="inlineStr">
        <is>
          <t>KRONOBERGS LÄN</t>
        </is>
      </c>
      <c r="G320" t="inlineStr">
        <is>
          <t>ÄLMHULT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60690-2021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44496</v>
      </c>
      <c r="E321" s="1" t="n">
        <v>46308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46308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45720</v>
      </c>
      <c r="E323" s="1" t="n">
        <v>46308</v>
      </c>
      <c r="F323" t="inlineStr">
        <is>
          <t>KRONOBERGS LÄN</t>
        </is>
      </c>
      <c r="G323" t="inlineStr">
        <is>
          <t>ÄLMHULT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64999-2023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45286</v>
      </c>
      <c r="E324" s="1" t="n">
        <v>46308</v>
      </c>
      <c r="F324" t="inlineStr">
        <is>
          <t>KRONOBERGS LÄN</t>
        </is>
      </c>
      <c r="G324" t="inlineStr">
        <is>
          <t>ÄLMHULT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46295</v>
      </c>
      <c r="E325" s="1" t="n">
        <v>46308</v>
      </c>
      <c r="F325" t="inlineStr">
        <is>
          <t>KRONOBERGS LÄN</t>
        </is>
      </c>
      <c r="G325" t="inlineStr">
        <is>
          <t>ÄLMHULT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46308</v>
      </c>
      <c r="F326" t="inlineStr">
        <is>
          <t>KRONOBERGS LÄN</t>
        </is>
      </c>
      <c r="G326" t="inlineStr">
        <is>
          <t>ÄLMHULT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46308</v>
      </c>
      <c r="F327" t="inlineStr">
        <is>
          <t>KRONOBERGS LÄN</t>
        </is>
      </c>
      <c r="G327" t="inlineStr">
        <is>
          <t>ÄLMHULT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46295</v>
      </c>
      <c r="E328" s="1" t="n">
        <v>46308</v>
      </c>
      <c r="F328" t="inlineStr">
        <is>
          <t>KRONOBERGS LÄN</t>
        </is>
      </c>
      <c r="G328" t="inlineStr">
        <is>
          <t>ÄLMHULT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46294</v>
      </c>
      <c r="E329" s="1" t="n">
        <v>46308</v>
      </c>
      <c r="F329" t="inlineStr">
        <is>
          <t>KRONOBERGS LÄN</t>
        </is>
      </c>
      <c r="G329" t="inlineStr">
        <is>
          <t>ÄLMHULT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46308</v>
      </c>
      <c r="F330" t="inlineStr">
        <is>
          <t>KRONOBERGS LÄN</t>
        </is>
      </c>
      <c r="G330" t="inlineStr">
        <is>
          <t>ÄLMHULT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46308</v>
      </c>
      <c r="F331" t="inlineStr">
        <is>
          <t>KRONOBERGS LÄN</t>
        </is>
      </c>
      <c r="G331" t="inlineStr">
        <is>
          <t>ÄLMHULT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13146-2026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46308</v>
      </c>
      <c r="F332" t="inlineStr">
        <is>
          <t>KRONOBERGS LÄN</t>
        </is>
      </c>
      <c r="G332" t="inlineStr">
        <is>
          <t>ÄLMHULT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46155</v>
      </c>
      <c r="E333" s="1" t="n">
        <v>46308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46308</v>
      </c>
      <c r="F334" t="inlineStr">
        <is>
          <t>KRONOBERGS LÄN</t>
        </is>
      </c>
      <c r="G334" t="inlineStr">
        <is>
          <t>ÄLMHULT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46308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46308</v>
      </c>
      <c r="F336" t="inlineStr">
        <is>
          <t>KRONOBERGS LÄN</t>
        </is>
      </c>
      <c r="G336" t="inlineStr">
        <is>
          <t>ÄLMHULT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46308</v>
      </c>
      <c r="F337" t="inlineStr">
        <is>
          <t>KRONOBERGS LÄN</t>
        </is>
      </c>
      <c r="G337" t="inlineStr">
        <is>
          <t>ÄLMHULT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46308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46308</v>
      </c>
      <c r="F339" t="inlineStr">
        <is>
          <t>KRONOBERGS LÄN</t>
        </is>
      </c>
      <c r="G339" t="inlineStr">
        <is>
          <t>ÄLMHULT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44876</v>
      </c>
      <c r="E340" s="1" t="n">
        <v>46308</v>
      </c>
      <c r="F340" t="inlineStr">
        <is>
          <t>KRONOBERGS LÄN</t>
        </is>
      </c>
      <c r="G340" t="inlineStr">
        <is>
          <t>ÄLMHULT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46308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46308</v>
      </c>
      <c r="F342" t="inlineStr">
        <is>
          <t>KRONOBERGS LÄN</t>
        </is>
      </c>
      <c r="G342" t="inlineStr">
        <is>
          <t>ÄLMHULT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46308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46308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46308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46308</v>
      </c>
      <c r="F346" t="inlineStr">
        <is>
          <t>KRONOBERGS LÄN</t>
        </is>
      </c>
      <c r="G346" t="inlineStr">
        <is>
          <t>ÄLMHULT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46308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15.3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46308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46308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46257</v>
      </c>
      <c r="E350" s="1" t="n">
        <v>46308</v>
      </c>
      <c r="F350" t="inlineStr">
        <is>
          <t>KRONOBERGS LÄN</t>
        </is>
      </c>
      <c r="G350" t="inlineStr">
        <is>
          <t>ÄLMHULT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46300</v>
      </c>
      <c r="E351" s="1" t="n">
        <v>46308</v>
      </c>
      <c r="F351" t="inlineStr">
        <is>
          <t>KRONOBERGS LÄN</t>
        </is>
      </c>
      <c r="G351" t="inlineStr">
        <is>
          <t>ÄLMHULT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46107</v>
      </c>
      <c r="E352" s="1" t="n">
        <v>46308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46308</v>
      </c>
      <c r="F353" t="inlineStr">
        <is>
          <t>KRONOBERGS LÄN</t>
        </is>
      </c>
      <c r="G353" t="inlineStr">
        <is>
          <t>ÄLMHULT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44686</v>
      </c>
      <c r="E354" s="1" t="n">
        <v>46308</v>
      </c>
      <c r="F354" t="inlineStr">
        <is>
          <t>KRONOBERGS LÄN</t>
        </is>
      </c>
      <c r="G354" t="inlineStr">
        <is>
          <t>ÄLMHULT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46308</v>
      </c>
      <c r="F355" t="inlineStr">
        <is>
          <t>KRONOBERGS LÄN</t>
        </is>
      </c>
      <c r="G355" t="inlineStr">
        <is>
          <t>ÄLMHULT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19722-2023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45051</v>
      </c>
      <c r="E356" s="1" t="n">
        <v>46308</v>
      </c>
      <c r="F356" t="inlineStr">
        <is>
          <t>KRONOBERGS LÄN</t>
        </is>
      </c>
      <c r="G356" t="inlineStr">
        <is>
          <t>ÄLMHULT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46308</v>
      </c>
      <c r="F357" t="inlineStr">
        <is>
          <t>KRONOBERGS LÄN</t>
        </is>
      </c>
      <c r="G357" t="inlineStr">
        <is>
          <t>ÄLMHULT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46308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46258</v>
      </c>
      <c r="E359" s="1" t="n">
        <v>46308</v>
      </c>
      <c r="F359" t="inlineStr">
        <is>
          <t>KRONOBERGS LÄN</t>
        </is>
      </c>
      <c r="G359" t="inlineStr">
        <is>
          <t>ÄLMHULT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59585-2024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46308</v>
      </c>
      <c r="F360" t="inlineStr">
        <is>
          <t>KRONOBERGS LÄN</t>
        </is>
      </c>
      <c r="G360" t="inlineStr">
        <is>
          <t>ÄLMHULT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46308</v>
      </c>
      <c r="F361" t="inlineStr">
        <is>
          <t>KRONOBERGS LÄN</t>
        </is>
      </c>
      <c r="G361" t="inlineStr">
        <is>
          <t>ÄLMHULT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46308</v>
      </c>
      <c r="F362" t="inlineStr">
        <is>
          <t>KRONOBERGS LÄN</t>
        </is>
      </c>
      <c r="G362" t="inlineStr">
        <is>
          <t>ÄLMHULT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53214-2024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46308</v>
      </c>
      <c r="F363" t="inlineStr">
        <is>
          <t>KRONOBERGS LÄN</t>
        </is>
      </c>
      <c r="G363" t="inlineStr">
        <is>
          <t>ÄLMHULT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45612</v>
      </c>
      <c r="E364" s="1" t="n">
        <v>46308</v>
      </c>
      <c r="F364" t="inlineStr">
        <is>
          <t>KRONOBERGS LÄN</t>
        </is>
      </c>
      <c r="G364" t="inlineStr">
        <is>
          <t>ÄLMHULT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46308</v>
      </c>
      <c r="F365" t="inlineStr">
        <is>
          <t>KRONOBERGS LÄN</t>
        </is>
      </c>
      <c r="G365" t="inlineStr">
        <is>
          <t>ÄLMHULT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46303</v>
      </c>
      <c r="E366" s="1" t="n">
        <v>46308</v>
      </c>
      <c r="F366" t="inlineStr">
        <is>
          <t>KRONOBERGS LÄN</t>
        </is>
      </c>
      <c r="G366" t="inlineStr">
        <is>
          <t>ÄLMHULT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46302</v>
      </c>
      <c r="E367" s="1" t="n">
        <v>46308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18702-2026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46308</v>
      </c>
      <c r="F368" t="inlineStr">
        <is>
          <t>KRONOBERGS LÄN</t>
        </is>
      </c>
      <c r="G368" t="inlineStr">
        <is>
          <t>ÄLMHULT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46308</v>
      </c>
      <c r="F369" t="inlineStr">
        <is>
          <t>KRONOBERGS LÄN</t>
        </is>
      </c>
      <c r="G369" t="inlineStr">
        <is>
          <t>ÄLMHULT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44817</v>
      </c>
      <c r="E370" s="1" t="n">
        <v>46308</v>
      </c>
      <c r="F370" t="inlineStr">
        <is>
          <t>KRONOBERGS LÄN</t>
        </is>
      </c>
      <c r="G370" t="inlineStr">
        <is>
          <t>ÄLMHULT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46303</v>
      </c>
      <c r="E371" s="1" t="n">
        <v>46308</v>
      </c>
      <c r="F371" t="inlineStr">
        <is>
          <t>KRONOBERGS LÄN</t>
        </is>
      </c>
      <c r="G371" t="inlineStr">
        <is>
          <t>ÄLMHULT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46262</v>
      </c>
      <c r="E372" s="1" t="n">
        <v>46308</v>
      </c>
      <c r="F372" t="inlineStr">
        <is>
          <t>KRONOBERGS LÄN</t>
        </is>
      </c>
      <c r="G372" t="inlineStr">
        <is>
          <t>ÄLMHULT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42355-2026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46307</v>
      </c>
      <c r="E373" s="1" t="n">
        <v>46308</v>
      </c>
      <c r="F373" t="inlineStr">
        <is>
          <t>KRONOBERGS LÄN</t>
        </is>
      </c>
      <c r="G373" t="inlineStr">
        <is>
          <t>ÄLMHULT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45240</v>
      </c>
      <c r="E374" s="1" t="n">
        <v>46308</v>
      </c>
      <c r="F374" t="inlineStr">
        <is>
          <t>KRONOBERGS LÄN</t>
        </is>
      </c>
      <c r="G374" t="inlineStr">
        <is>
          <t>ÄLMHULT</t>
        </is>
      </c>
      <c r="H374" t="inlineStr">
        <is>
          <t>Kyrkan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46308</v>
      </c>
      <c r="F375" t="inlineStr">
        <is>
          <t>KRONOBERGS LÄN</t>
        </is>
      </c>
      <c r="G375" t="inlineStr">
        <is>
          <t>ÄLMHULT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46307</v>
      </c>
      <c r="E376" s="1" t="n">
        <v>46308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32197-2025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45835</v>
      </c>
      <c r="E377" s="1" t="n">
        <v>46308</v>
      </c>
      <c r="F377" t="inlineStr">
        <is>
          <t>KRONOBERGS LÄN</t>
        </is>
      </c>
      <c r="G377" t="inlineStr">
        <is>
          <t>ÄLMHULT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46308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46307</v>
      </c>
      <c r="E379" s="1" t="n">
        <v>46308</v>
      </c>
      <c r="F379" t="inlineStr">
        <is>
          <t>KRONOBERGS LÄN</t>
        </is>
      </c>
      <c r="G379" t="inlineStr">
        <is>
          <t>ÄLMHULT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46307</v>
      </c>
      <c r="E380" s="1" t="n">
        <v>46308</v>
      </c>
      <c r="F380" t="inlineStr">
        <is>
          <t>KRONOBERGS LÄN</t>
        </is>
      </c>
      <c r="G380" t="inlineStr">
        <is>
          <t>ÄLMHULT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46308</v>
      </c>
      <c r="F381" t="inlineStr">
        <is>
          <t>KRONOBERGS LÄN</t>
        </is>
      </c>
      <c r="G381" t="inlineStr">
        <is>
          <t>ÄLMHULT</t>
        </is>
      </c>
      <c r="H381" t="inlineStr">
        <is>
          <t>Kommuner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47536-2022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46308</v>
      </c>
      <c r="F382" t="inlineStr">
        <is>
          <t>KRONOBERGS LÄN</t>
        </is>
      </c>
      <c r="G382" t="inlineStr">
        <is>
          <t>ÄLMHULT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45303</v>
      </c>
      <c r="E383" s="1" t="n">
        <v>46308</v>
      </c>
      <c r="F383" t="inlineStr">
        <is>
          <t>KRONOBERGS LÄN</t>
        </is>
      </c>
      <c r="G383" t="inlineStr">
        <is>
          <t>ÄLMHULT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65247-2023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45290</v>
      </c>
      <c r="E384" s="1" t="n">
        <v>46308</v>
      </c>
      <c r="F384" t="inlineStr">
        <is>
          <t>KRONOBERGS LÄN</t>
        </is>
      </c>
      <c r="G384" t="inlineStr">
        <is>
          <t>ÄLMHULT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46261</v>
      </c>
      <c r="E385" s="1" t="n">
        <v>46308</v>
      </c>
      <c r="F385" t="inlineStr">
        <is>
          <t>KRONOBERGS LÄN</t>
        </is>
      </c>
      <c r="G385" t="inlineStr">
        <is>
          <t>ÄLMHULT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45180</v>
      </c>
      <c r="E386" s="1" t="n">
        <v>46308</v>
      </c>
      <c r="F386" t="inlineStr">
        <is>
          <t>KRONOBERGS LÄN</t>
        </is>
      </c>
      <c r="G386" t="inlineStr">
        <is>
          <t>ÄLMHULT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45167</v>
      </c>
      <c r="E387" s="1" t="n">
        <v>46308</v>
      </c>
      <c r="F387" t="inlineStr">
        <is>
          <t>KRONOBERGS LÄN</t>
        </is>
      </c>
      <c r="G387" t="inlineStr">
        <is>
          <t>ÄLMHULT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46308</v>
      </c>
      <c r="F388" t="inlineStr">
        <is>
          <t>KRONOBERGS LÄN</t>
        </is>
      </c>
      <c r="G388" t="inlineStr">
        <is>
          <t>ÄLMHULT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45586</v>
      </c>
      <c r="E389" s="1" t="n">
        <v>46308</v>
      </c>
      <c r="F389" t="inlineStr">
        <is>
          <t>KRONOBERGS LÄN</t>
        </is>
      </c>
      <c r="G389" t="inlineStr">
        <is>
          <t>ÄLMHULT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46308</v>
      </c>
      <c r="F390" t="inlineStr">
        <is>
          <t>KRONOBERGS LÄN</t>
        </is>
      </c>
      <c r="G390" t="inlineStr">
        <is>
          <t>ÄLMHULT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46308</v>
      </c>
      <c r="F391" t="inlineStr">
        <is>
          <t>KRONOBERGS LÄN</t>
        </is>
      </c>
      <c r="G391" t="inlineStr">
        <is>
          <t>ÄLMHULT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46308</v>
      </c>
      <c r="F392" t="inlineStr">
        <is>
          <t>KRONOBERGS LÄN</t>
        </is>
      </c>
      <c r="G392" t="inlineStr">
        <is>
          <t>ÄLMHULT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45630</v>
      </c>
      <c r="E393" s="1" t="n">
        <v>46308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46308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44935</v>
      </c>
      <c r="E395" s="1" t="n">
        <v>46308</v>
      </c>
      <c r="F395" t="inlineStr">
        <is>
          <t>KRONOBERGS LÄN</t>
        </is>
      </c>
      <c r="G395" t="inlineStr">
        <is>
          <t>ÄLMHULT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46308</v>
      </c>
      <c r="F396" t="inlineStr">
        <is>
          <t>KRONOBERGS LÄN</t>
        </is>
      </c>
      <c r="G396" t="inlineStr">
        <is>
          <t>ÄLMHULT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46308</v>
      </c>
      <c r="F397" t="inlineStr">
        <is>
          <t>KRONOBERGS LÄN</t>
        </is>
      </c>
      <c r="G397" t="inlineStr">
        <is>
          <t>ÄLMHULT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45733</v>
      </c>
      <c r="E398" s="1" t="n">
        <v>46308</v>
      </c>
      <c r="F398" t="inlineStr">
        <is>
          <t>KRONOBERGS LÄN</t>
        </is>
      </c>
      <c r="G398" t="inlineStr">
        <is>
          <t>ÄLMHULT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45537</v>
      </c>
      <c r="E399" s="1" t="n">
        <v>46308</v>
      </c>
      <c r="F399" t="inlineStr">
        <is>
          <t>KRONOBERGS LÄN</t>
        </is>
      </c>
      <c r="G399" t="inlineStr">
        <is>
          <t>ÄLMHULT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46308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35478-2024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46308</v>
      </c>
      <c r="F401" t="inlineStr">
        <is>
          <t>KRONOBERGS LÄN</t>
        </is>
      </c>
      <c r="G401" t="inlineStr">
        <is>
          <t>ÄLMHULT</t>
        </is>
      </c>
      <c r="H401" t="inlineStr">
        <is>
          <t>Kyrkan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46308</v>
      </c>
      <c r="F402" t="inlineStr">
        <is>
          <t>KRONOBERGS LÄN</t>
        </is>
      </c>
      <c r="G402" t="inlineStr">
        <is>
          <t>ÄLMHULT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46308</v>
      </c>
      <c r="F403" t="inlineStr">
        <is>
          <t>KRONOBERGS LÄN</t>
        </is>
      </c>
      <c r="G403" t="inlineStr">
        <is>
          <t>ÄLMHULT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46308</v>
      </c>
      <c r="F404" t="inlineStr">
        <is>
          <t>KRONOBERGS LÄN</t>
        </is>
      </c>
      <c r="G404" t="inlineStr">
        <is>
          <t>ÄLMHULT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45887</v>
      </c>
      <c r="E405" s="1" t="n">
        <v>46308</v>
      </c>
      <c r="F405" t="inlineStr">
        <is>
          <t>KRONOBERGS LÄN</t>
        </is>
      </c>
      <c r="G405" t="inlineStr">
        <is>
          <t>ÄLMHULT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46308</v>
      </c>
      <c r="F406" t="inlineStr">
        <is>
          <t>KRONOBERGS LÄN</t>
        </is>
      </c>
      <c r="G406" t="inlineStr">
        <is>
          <t>ÄLMHULT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46308</v>
      </c>
      <c r="F407" t="inlineStr">
        <is>
          <t>KRONOBERGS LÄN</t>
        </is>
      </c>
      <c r="G407" t="inlineStr">
        <is>
          <t>ÄLMHULT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46308</v>
      </c>
      <c r="F408" t="inlineStr">
        <is>
          <t>KRONOBERGS LÄN</t>
        </is>
      </c>
      <c r="G408" t="inlineStr">
        <is>
          <t>ÄLMHULT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46308</v>
      </c>
      <c r="F409" t="inlineStr">
        <is>
          <t>KRONOBERGS LÄN</t>
        </is>
      </c>
      <c r="G409" t="inlineStr">
        <is>
          <t>ÄLMHULT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46308</v>
      </c>
      <c r="F410" t="inlineStr">
        <is>
          <t>KRONOBERGS LÄN</t>
        </is>
      </c>
      <c r="G410" t="inlineStr">
        <is>
          <t>ÄLMHULT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46308</v>
      </c>
      <c r="F411" t="inlineStr">
        <is>
          <t>KRONOBERGS LÄN</t>
        </is>
      </c>
      <c r="G411" t="inlineStr">
        <is>
          <t>ÄLMHULT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45414</v>
      </c>
      <c r="E412" s="1" t="n">
        <v>46308</v>
      </c>
      <c r="F412" t="inlineStr">
        <is>
          <t>KRONOBERGS LÄN</t>
        </is>
      </c>
      <c r="G412" t="inlineStr">
        <is>
          <t>ÄLMHULT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45681</v>
      </c>
      <c r="E413" s="1" t="n">
        <v>46308</v>
      </c>
      <c r="F413" t="inlineStr">
        <is>
          <t>KRONOBERGS LÄN</t>
        </is>
      </c>
      <c r="G413" t="inlineStr">
        <is>
          <t>ÄLMHULT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45460</v>
      </c>
      <c r="E414" s="1" t="n">
        <v>46308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46308</v>
      </c>
      <c r="F415" t="inlineStr">
        <is>
          <t>KRONOBERGS LÄN</t>
        </is>
      </c>
      <c r="G415" t="inlineStr">
        <is>
          <t>ÄLMHULT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46308</v>
      </c>
      <c r="F416" t="inlineStr">
        <is>
          <t>KRONOBERGS LÄN</t>
        </is>
      </c>
      <c r="G416" t="inlineStr">
        <is>
          <t>ÄLMHULT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44994</v>
      </c>
      <c r="E417" s="1" t="n">
        <v>46308</v>
      </c>
      <c r="F417" t="inlineStr">
        <is>
          <t>KRONOBERGS LÄN</t>
        </is>
      </c>
      <c r="G417" t="inlineStr">
        <is>
          <t>ÄLMHULT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45042</v>
      </c>
      <c r="E418" s="1" t="n">
        <v>46308</v>
      </c>
      <c r="F418" t="inlineStr">
        <is>
          <t>KRONOBERGS LÄN</t>
        </is>
      </c>
      <c r="G418" t="inlineStr">
        <is>
          <t>ÄLMHULT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46308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59099-2022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46308</v>
      </c>
      <c r="F420" t="inlineStr">
        <is>
          <t>KRONOBERGS LÄN</t>
        </is>
      </c>
      <c r="G420" t="inlineStr">
        <is>
          <t>ÄLMHULT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11587-2024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46308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46308</v>
      </c>
      <c r="F422" t="inlineStr">
        <is>
          <t>KRONOBERGS LÄN</t>
        </is>
      </c>
      <c r="G422" t="inlineStr">
        <is>
          <t>ÄLMHULT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45681</v>
      </c>
      <c r="E423" s="1" t="n">
        <v>46308</v>
      </c>
      <c r="F423" t="inlineStr">
        <is>
          <t>KRONOBERGS LÄN</t>
        </is>
      </c>
      <c r="G423" t="inlineStr">
        <is>
          <t>ÄLMHULT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45068</v>
      </c>
      <c r="E424" s="1" t="n">
        <v>46308</v>
      </c>
      <c r="F424" t="inlineStr">
        <is>
          <t>KRONOBERGS LÄN</t>
        </is>
      </c>
      <c r="G424" t="inlineStr">
        <is>
          <t>ÄLMHULT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46308</v>
      </c>
      <c r="F425" t="inlineStr">
        <is>
          <t>KRONOBERGS LÄN</t>
        </is>
      </c>
      <c r="G425" t="inlineStr">
        <is>
          <t>ÄLMHULT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45715</v>
      </c>
      <c r="E426" s="1" t="n">
        <v>46308</v>
      </c>
      <c r="F426" t="inlineStr">
        <is>
          <t>KRONOBERGS LÄN</t>
        </is>
      </c>
      <c r="G426" t="inlineStr">
        <is>
          <t>ÄLMHULT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44921</v>
      </c>
      <c r="E427" s="1" t="n">
        <v>46308</v>
      </c>
      <c r="F427" t="inlineStr">
        <is>
          <t>KRONOBERGS LÄN</t>
        </is>
      </c>
      <c r="G427" t="inlineStr">
        <is>
          <t>ÄLMHULT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45145</v>
      </c>
      <c r="E428" s="1" t="n">
        <v>46308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45352</v>
      </c>
      <c r="E429" s="1" t="n">
        <v>46308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53113-2023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45228</v>
      </c>
      <c r="E430" s="1" t="n">
        <v>46308</v>
      </c>
      <c r="F430" t="inlineStr">
        <is>
          <t>KRONOBERGS LÄN</t>
        </is>
      </c>
      <c r="G430" t="inlineStr">
        <is>
          <t>ÄLMHULT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45608</v>
      </c>
      <c r="E431" s="1" t="n">
        <v>46308</v>
      </c>
      <c r="F431" t="inlineStr">
        <is>
          <t>KRONOBERGS LÄN</t>
        </is>
      </c>
      <c r="G431" t="inlineStr">
        <is>
          <t>ÄLMHULT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20747-2026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46308</v>
      </c>
      <c r="F432" t="inlineStr">
        <is>
          <t>KRONOBERGS LÄN</t>
        </is>
      </c>
      <c r="G432" t="inlineStr">
        <is>
          <t>ÄLMHULT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46308</v>
      </c>
      <c r="F433" t="inlineStr">
        <is>
          <t>KRONOBERGS LÄN</t>
        </is>
      </c>
      <c r="G433" t="inlineStr">
        <is>
          <t>ÄLMHULT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60876-2022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44914</v>
      </c>
      <c r="E434" s="1" t="n">
        <v>46308</v>
      </c>
      <c r="F434" t="inlineStr">
        <is>
          <t>KRONOBERGS LÄN</t>
        </is>
      </c>
      <c r="G434" t="inlineStr">
        <is>
          <t>ÄLMHULT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46308</v>
      </c>
      <c r="F435" t="inlineStr">
        <is>
          <t>KRONOBERGS LÄN</t>
        </is>
      </c>
      <c r="G435" t="inlineStr">
        <is>
          <t>ÄLMHULT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46308</v>
      </c>
      <c r="F436" t="inlineStr">
        <is>
          <t>KRONOBERGS LÄN</t>
        </is>
      </c>
      <c r="G436" t="inlineStr">
        <is>
          <t>ÄLMHULT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27863-2022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46308</v>
      </c>
      <c r="F437" t="inlineStr">
        <is>
          <t>KRONOBERGS LÄN</t>
        </is>
      </c>
      <c r="G437" t="inlineStr">
        <is>
          <t>ÄLMHULT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62241-2021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44503</v>
      </c>
      <c r="E438" s="1" t="n">
        <v>46308</v>
      </c>
      <c r="F438" t="inlineStr">
        <is>
          <t>KRONOBERGS LÄN</t>
        </is>
      </c>
      <c r="G438" t="inlineStr">
        <is>
          <t>ÄLMHULT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46308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45818</v>
      </c>
      <c r="E440" s="1" t="n">
        <v>46308</v>
      </c>
      <c r="F440" t="inlineStr">
        <is>
          <t>KRONOBERGS LÄN</t>
        </is>
      </c>
      <c r="G440" t="inlineStr">
        <is>
          <t>ÄLMHULT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45547</v>
      </c>
      <c r="E441" s="1" t="n">
        <v>46308</v>
      </c>
      <c r="F441" t="inlineStr">
        <is>
          <t>KRONOBERGS LÄN</t>
        </is>
      </c>
      <c r="G441" t="inlineStr">
        <is>
          <t>ÄLMHULT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46308</v>
      </c>
      <c r="F442" t="inlineStr">
        <is>
          <t>KRONOBERGS LÄN</t>
        </is>
      </c>
      <c r="G442" t="inlineStr">
        <is>
          <t>ÄLMHULT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45317</v>
      </c>
      <c r="E443" s="1" t="n">
        <v>46308</v>
      </c>
      <c r="F443" t="inlineStr">
        <is>
          <t>KRONOBERGS LÄN</t>
        </is>
      </c>
      <c r="G443" t="inlineStr">
        <is>
          <t>ÄLMHULT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45078</v>
      </c>
      <c r="E444" s="1" t="n">
        <v>46308</v>
      </c>
      <c r="F444" t="inlineStr">
        <is>
          <t>KRONOBERGS LÄN</t>
        </is>
      </c>
      <c r="G444" t="inlineStr">
        <is>
          <t>ÄLMHULT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45078</v>
      </c>
      <c r="E445" s="1" t="n">
        <v>46308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46308</v>
      </c>
      <c r="F446" t="inlineStr">
        <is>
          <t>KRONOBERGS LÄN</t>
        </is>
      </c>
      <c r="G446" t="inlineStr">
        <is>
          <t>ÄLMHULT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45716</v>
      </c>
      <c r="E447" s="1" t="n">
        <v>46308</v>
      </c>
      <c r="F447" t="inlineStr">
        <is>
          <t>KRONOBERGS LÄN</t>
        </is>
      </c>
      <c r="G447" t="inlineStr">
        <is>
          <t>ÄLMHULT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45716</v>
      </c>
      <c r="E448" s="1" t="n">
        <v>46308</v>
      </c>
      <c r="F448" t="inlineStr">
        <is>
          <t>KRONOBERGS LÄN</t>
        </is>
      </c>
      <c r="G448" t="inlineStr">
        <is>
          <t>ÄLMHULT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46308</v>
      </c>
      <c r="F449" t="inlineStr">
        <is>
          <t>KRONOBERGS LÄN</t>
        </is>
      </c>
      <c r="G449" t="inlineStr">
        <is>
          <t>ÄLMHULT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45716</v>
      </c>
      <c r="E450" s="1" t="n">
        <v>46308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46308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46308</v>
      </c>
      <c r="F452" t="inlineStr">
        <is>
          <t>KRONOBERGS LÄN</t>
        </is>
      </c>
      <c r="G452" t="inlineStr">
        <is>
          <t>ÄLMHULT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21272-2024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45440</v>
      </c>
      <c r="E453" s="1" t="n">
        <v>46308</v>
      </c>
      <c r="F453" t="inlineStr">
        <is>
          <t>KRONOBERGS LÄN</t>
        </is>
      </c>
      <c r="G453" t="inlineStr">
        <is>
          <t>ÄLMHULT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72469-2021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44545</v>
      </c>
      <c r="E454" s="1" t="n">
        <v>46308</v>
      </c>
      <c r="F454" t="inlineStr">
        <is>
          <t>KRONOBERGS LÄN</t>
        </is>
      </c>
      <c r="G454" t="inlineStr">
        <is>
          <t>ÄLMHULT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45140</v>
      </c>
      <c r="E455" s="1" t="n">
        <v>46308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30494-2023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45111</v>
      </c>
      <c r="E456" s="1" t="n">
        <v>46308</v>
      </c>
      <c r="F456" t="inlineStr">
        <is>
          <t>KRONOBERGS LÄN</t>
        </is>
      </c>
      <c r="G456" t="inlineStr">
        <is>
          <t>ÄLMHULT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7546-2024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45348</v>
      </c>
      <c r="E457" s="1" t="n">
        <v>46308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54363-2023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45233</v>
      </c>
      <c r="E458" s="1" t="n">
        <v>46308</v>
      </c>
      <c r="F458" t="inlineStr">
        <is>
          <t>KRONOBERGS LÄN</t>
        </is>
      </c>
      <c r="G458" t="inlineStr">
        <is>
          <t>ÄLMHULT</t>
        </is>
      </c>
      <c r="I458" t="n">
        <v>8.6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54364-2023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45233</v>
      </c>
      <c r="E459" s="1" t="n">
        <v>46308</v>
      </c>
      <c r="F459" t="inlineStr">
        <is>
          <t>KRONOBERGS LÄN</t>
        </is>
      </c>
      <c r="G459" t="inlineStr">
        <is>
          <t>ÄLMHULT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67257-2021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44523</v>
      </c>
      <c r="E460" s="1" t="n">
        <v>46308</v>
      </c>
      <c r="F460" t="inlineStr">
        <is>
          <t>KRONOBERGS LÄN</t>
        </is>
      </c>
      <c r="G460" t="inlineStr">
        <is>
          <t>ÄLMHULT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46308</v>
      </c>
      <c r="F461" t="inlineStr">
        <is>
          <t>KRONOBERGS LÄN</t>
        </is>
      </c>
      <c r="G461" t="inlineStr">
        <is>
          <t>ÄLMHULT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50062-2023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46308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57197-2024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46308</v>
      </c>
      <c r="F463" t="inlineStr">
        <is>
          <t>KRONOBERGS LÄN</t>
        </is>
      </c>
      <c r="G463" t="inlineStr">
        <is>
          <t>ÄLMHULT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45170</v>
      </c>
      <c r="E464" s="1" t="n">
        <v>46308</v>
      </c>
      <c r="F464" t="inlineStr">
        <is>
          <t>KRONOBERGS LÄN</t>
        </is>
      </c>
      <c r="G464" t="inlineStr">
        <is>
          <t>ÄLMHULT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58831-2023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45252</v>
      </c>
      <c r="E465" s="1" t="n">
        <v>46308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13606-2023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45006</v>
      </c>
      <c r="E466" s="1" t="n">
        <v>46308</v>
      </c>
      <c r="F466" t="inlineStr">
        <is>
          <t>KRONOBERGS LÄN</t>
        </is>
      </c>
      <c r="G466" t="inlineStr">
        <is>
          <t>ÄLMHULT</t>
        </is>
      </c>
      <c r="H466" t="inlineStr">
        <is>
          <t>Kommuner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25636-2023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45089</v>
      </c>
      <c r="E467" s="1" t="n">
        <v>46308</v>
      </c>
      <c r="F467" t="inlineStr">
        <is>
          <t>KRONOBERGS LÄN</t>
        </is>
      </c>
      <c r="G467" t="inlineStr">
        <is>
          <t>ÄLMHULT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45608</v>
      </c>
      <c r="E468" s="1" t="n">
        <v>46308</v>
      </c>
      <c r="F468" t="inlineStr">
        <is>
          <t>KRONOBERGS LÄN</t>
        </is>
      </c>
      <c r="G468" t="inlineStr">
        <is>
          <t>ÄLMHULT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45734</v>
      </c>
      <c r="E469" s="1" t="n">
        <v>46308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46308</v>
      </c>
      <c r="F470" t="inlineStr">
        <is>
          <t>KRONOBERGS LÄN</t>
        </is>
      </c>
      <c r="G470" t="inlineStr">
        <is>
          <t>ÄLMHULT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45215</v>
      </c>
      <c r="E471" s="1" t="n">
        <v>46308</v>
      </c>
      <c r="F471" t="inlineStr">
        <is>
          <t>KRONOBERGS LÄN</t>
        </is>
      </c>
      <c r="G471" t="inlineStr">
        <is>
          <t>ÄLMHULT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45376</v>
      </c>
      <c r="E472" s="1" t="n">
        <v>46308</v>
      </c>
      <c r="F472" t="inlineStr">
        <is>
          <t>KRONOBERGS LÄN</t>
        </is>
      </c>
      <c r="G472" t="inlineStr">
        <is>
          <t>ÄLMHULT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33944-2023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45134</v>
      </c>
      <c r="E473" s="1" t="n">
        <v>46308</v>
      </c>
      <c r="F473" t="inlineStr">
        <is>
          <t>KRONOBERGS LÄN</t>
        </is>
      </c>
      <c r="G473" t="inlineStr">
        <is>
          <t>ÄLMHULT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44784</v>
      </c>
      <c r="E474" s="1" t="n">
        <v>46308</v>
      </c>
      <c r="F474" t="inlineStr">
        <is>
          <t>KRONOBERGS LÄN</t>
        </is>
      </c>
      <c r="G474" t="inlineStr">
        <is>
          <t>ÄLMHULT</t>
        </is>
      </c>
      <c r="H474" t="inlineStr">
        <is>
          <t>Kyrkan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11594-2024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46308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46308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24808-2023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45084</v>
      </c>
      <c r="E477" s="1" t="n">
        <v>46308</v>
      </c>
      <c r="F477" t="inlineStr">
        <is>
          <t>KRONOBERGS LÄN</t>
        </is>
      </c>
      <c r="G477" t="inlineStr">
        <is>
          <t>ÄLMHULT</t>
        </is>
      </c>
      <c r="I477" t="n">
        <v>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45010</v>
      </c>
      <c r="E478" s="1" t="n">
        <v>46308</v>
      </c>
      <c r="F478" t="inlineStr">
        <is>
          <t>KRONOBERGS LÄN</t>
        </is>
      </c>
      <c r="G478" t="inlineStr">
        <is>
          <t>ÄLMHULT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45631</v>
      </c>
      <c r="E479" s="1" t="n">
        <v>46308</v>
      </c>
      <c r="F479" t="inlineStr">
        <is>
          <t>KRONOBERGS LÄN</t>
        </is>
      </c>
      <c r="G479" t="inlineStr">
        <is>
          <t>ÄLMHULT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45355</v>
      </c>
      <c r="E480" s="1" t="n">
        <v>46308</v>
      </c>
      <c r="F480" t="inlineStr">
        <is>
          <t>KRONOBERGS LÄN</t>
        </is>
      </c>
      <c r="G480" t="inlineStr">
        <is>
          <t>ÄLMHULT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45355</v>
      </c>
      <c r="E481" s="1" t="n">
        <v>46308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35102-2024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45529</v>
      </c>
      <c r="E482" s="1" t="n">
        <v>46308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44943</v>
      </c>
      <c r="E483" s="1" t="n">
        <v>46308</v>
      </c>
      <c r="F483" t="inlineStr">
        <is>
          <t>KRONOBERGS LÄN</t>
        </is>
      </c>
      <c r="G483" t="inlineStr">
        <is>
          <t>ÄLMHULT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46308</v>
      </c>
      <c r="F484" t="inlineStr">
        <is>
          <t>KRONOBERGS LÄN</t>
        </is>
      </c>
      <c r="G484" t="inlineStr">
        <is>
          <t>ÄLMHULT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45010</v>
      </c>
      <c r="E485" s="1" t="n">
        <v>46308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62812-2023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45271</v>
      </c>
      <c r="E486" s="1" t="n">
        <v>46308</v>
      </c>
      <c r="F486" t="inlineStr">
        <is>
          <t>KRONOBERGS LÄN</t>
        </is>
      </c>
      <c r="G486" t="inlineStr">
        <is>
          <t>ÄLMHULT</t>
        </is>
      </c>
      <c r="I486" t="n">
        <v>8.4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45085</v>
      </c>
      <c r="E487" s="1" t="n">
        <v>46308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71802-2021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44543</v>
      </c>
      <c r="E488" s="1" t="n">
        <v>46308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50031-2022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44865</v>
      </c>
      <c r="E489" s="1" t="n">
        <v>46308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45048</v>
      </c>
      <c r="E490" s="1" t="n">
        <v>46308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36000-2024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45533</v>
      </c>
      <c r="E491" s="1" t="n">
        <v>46308</v>
      </c>
      <c r="F491" t="inlineStr">
        <is>
          <t>KRONOBERGS LÄN</t>
        </is>
      </c>
      <c r="G491" t="inlineStr">
        <is>
          <t>ÄLMHULT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45001</v>
      </c>
      <c r="E492" s="1" t="n">
        <v>46308</v>
      </c>
      <c r="F492" t="inlineStr">
        <is>
          <t>KRONOBERGS LÄN</t>
        </is>
      </c>
      <c r="G492" t="inlineStr">
        <is>
          <t>ÄLMHULT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64773-2023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45282</v>
      </c>
      <c r="E493" s="1" t="n">
        <v>46308</v>
      </c>
      <c r="F493" t="inlineStr">
        <is>
          <t>KRONOBERGS LÄN</t>
        </is>
      </c>
      <c r="G493" t="inlineStr">
        <is>
          <t>ÄLMHULT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63116-2023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45273</v>
      </c>
      <c r="E494" s="1" t="n">
        <v>46308</v>
      </c>
      <c r="F494" t="inlineStr">
        <is>
          <t>KRONOBERGS LÄN</t>
        </is>
      </c>
      <c r="G494" t="inlineStr">
        <is>
          <t>ÄLMHULT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46308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45706</v>
      </c>
      <c r="E496" s="1" t="n">
        <v>46308</v>
      </c>
      <c r="F496" t="inlineStr">
        <is>
          <t>KRONOBERGS LÄN</t>
        </is>
      </c>
      <c r="G496" t="inlineStr">
        <is>
          <t>ÄLMHULT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53201-2024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45612</v>
      </c>
      <c r="E497" s="1" t="n">
        <v>46308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45615</v>
      </c>
      <c r="E498" s="1" t="n">
        <v>46308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46308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58474-2023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45250</v>
      </c>
      <c r="E500" s="1" t="n">
        <v>46308</v>
      </c>
      <c r="F500" t="inlineStr">
        <is>
          <t>KRONOBERGS LÄN</t>
        </is>
      </c>
      <c r="G500" t="inlineStr">
        <is>
          <t>ÄLMHULT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46308</v>
      </c>
      <c r="F501" t="inlineStr">
        <is>
          <t>KRONOBERGS LÄN</t>
        </is>
      </c>
      <c r="G501" t="inlineStr">
        <is>
          <t>ÄLMHULT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38428-2024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45546</v>
      </c>
      <c r="E502" s="1" t="n">
        <v>46308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42490-2023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46308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46308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45311</v>
      </c>
      <c r="E505" s="1" t="n">
        <v>46308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46308</v>
      </c>
      <c r="F506" t="inlineStr">
        <is>
          <t>KRONOBERGS LÄN</t>
        </is>
      </c>
      <c r="G506" t="inlineStr">
        <is>
          <t>ÄLMHULT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12851-2024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45384</v>
      </c>
      <c r="E507" s="1" t="n">
        <v>46308</v>
      </c>
      <c r="F507" t="inlineStr">
        <is>
          <t>KRONOBERGS LÄN</t>
        </is>
      </c>
      <c r="G507" t="inlineStr">
        <is>
          <t>ÄLMHULT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11787-2024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45374</v>
      </c>
      <c r="E508" s="1" t="n">
        <v>46308</v>
      </c>
      <c r="F508" t="inlineStr">
        <is>
          <t>KRONOBERGS LÄN</t>
        </is>
      </c>
      <c r="G508" t="inlineStr">
        <is>
          <t>ÄLMHULT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46308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46308</v>
      </c>
      <c r="F510" t="inlineStr">
        <is>
          <t>KRONOBERGS LÄN</t>
        </is>
      </c>
      <c r="G510" t="inlineStr">
        <is>
          <t>ÄLMHULT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45012</v>
      </c>
      <c r="E511" s="1" t="n">
        <v>46308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45314</v>
      </c>
      <c r="E512" s="1" t="n">
        <v>46308</v>
      </c>
      <c r="F512" t="inlineStr">
        <is>
          <t>KRONOBERGS LÄN</t>
        </is>
      </c>
      <c r="G512" t="inlineStr">
        <is>
          <t>ÄLMHULT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45707</v>
      </c>
      <c r="E513" s="1" t="n">
        <v>46308</v>
      </c>
      <c r="F513" t="inlineStr">
        <is>
          <t>KRONOBERGS LÄN</t>
        </is>
      </c>
      <c r="G513" t="inlineStr">
        <is>
          <t>ÄLMHULT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46308</v>
      </c>
      <c r="F514" t="inlineStr">
        <is>
          <t>KRONOBERGS LÄN</t>
        </is>
      </c>
      <c r="G514" t="inlineStr">
        <is>
          <t>ÄLMHULT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45653</v>
      </c>
      <c r="E515" s="1" t="n">
        <v>46308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45653</v>
      </c>
      <c r="E516" s="1" t="n">
        <v>46308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46308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9883-2025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46308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46308</v>
      </c>
      <c r="F519" t="inlineStr">
        <is>
          <t>KRONOBERGS LÄN</t>
        </is>
      </c>
      <c r="G519" t="inlineStr">
        <is>
          <t>ÄLMHULT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46308</v>
      </c>
      <c r="F520" t="inlineStr">
        <is>
          <t>KRONOBERGS LÄN</t>
        </is>
      </c>
      <c r="G520" t="inlineStr">
        <is>
          <t>ÄLMHULT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45700</v>
      </c>
      <c r="E521" s="1" t="n">
        <v>46308</v>
      </c>
      <c r="F521" t="inlineStr">
        <is>
          <t>KRONOBERGS LÄN</t>
        </is>
      </c>
      <c r="G521" t="inlineStr">
        <is>
          <t>ÄLMHULT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20964-2023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45061</v>
      </c>
      <c r="E522" s="1" t="n">
        <v>46308</v>
      </c>
      <c r="F522" t="inlineStr">
        <is>
          <t>KRONOBERGS LÄN</t>
        </is>
      </c>
      <c r="G522" t="inlineStr">
        <is>
          <t>ÄLMHULT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59124-2022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44897</v>
      </c>
      <c r="E523" s="1" t="n">
        <v>46308</v>
      </c>
      <c r="F523" t="inlineStr">
        <is>
          <t>KRONOBERGS LÄN</t>
        </is>
      </c>
      <c r="G523" t="inlineStr">
        <is>
          <t>ÄLMHULT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44977</v>
      </c>
      <c r="E524" s="1" t="n">
        <v>46308</v>
      </c>
      <c r="F524" t="inlineStr">
        <is>
          <t>KRONOBERGS LÄN</t>
        </is>
      </c>
      <c r="G524" t="inlineStr">
        <is>
          <t>ÄLMHULT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56955-2024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45628</v>
      </c>
      <c r="E525" s="1" t="n">
        <v>46308</v>
      </c>
      <c r="F525" t="inlineStr">
        <is>
          <t>KRONOBERGS LÄN</t>
        </is>
      </c>
      <c r="G525" t="inlineStr">
        <is>
          <t>ÄLMHULT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45352</v>
      </c>
      <c r="E526" s="1" t="n">
        <v>46308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32617-2024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45513</v>
      </c>
      <c r="E527" s="1" t="n">
        <v>46308</v>
      </c>
      <c r="F527" t="inlineStr">
        <is>
          <t>KRONOBERGS LÄN</t>
        </is>
      </c>
      <c r="G527" t="inlineStr">
        <is>
          <t>ÄLMHULT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46308</v>
      </c>
      <c r="F528" t="inlineStr">
        <is>
          <t>KRONOBERGS LÄN</t>
        </is>
      </c>
      <c r="G528" t="inlineStr">
        <is>
          <t>ÄLMHULT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45680</v>
      </c>
      <c r="E529" s="1" t="n">
        <v>46308</v>
      </c>
      <c r="F529" t="inlineStr">
        <is>
          <t>KRONOBERGS LÄN</t>
        </is>
      </c>
      <c r="G529" t="inlineStr">
        <is>
          <t>ÄLMHULT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46472-2023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45191</v>
      </c>
      <c r="E530" s="1" t="n">
        <v>46308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47537-2022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44853</v>
      </c>
      <c r="E531" s="1" t="n">
        <v>46308</v>
      </c>
      <c r="F531" t="inlineStr">
        <is>
          <t>KRONOBERGS LÄN</t>
        </is>
      </c>
      <c r="G531" t="inlineStr">
        <is>
          <t>ÄLMHULT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46308</v>
      </c>
      <c r="F532" t="inlineStr">
        <is>
          <t>KRONOBERGS LÄN</t>
        </is>
      </c>
      <c r="G532" t="inlineStr">
        <is>
          <t>ÄLMHULT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48159-2024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46308</v>
      </c>
      <c r="F533" t="inlineStr">
        <is>
          <t>KRONOBERGS LÄN</t>
        </is>
      </c>
      <c r="G533" t="inlineStr">
        <is>
          <t>ÄLMHULT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44855</v>
      </c>
      <c r="E534" s="1" t="n">
        <v>46308</v>
      </c>
      <c r="F534" t="inlineStr">
        <is>
          <t>KRONOBERGS LÄN</t>
        </is>
      </c>
      <c r="G534" t="inlineStr">
        <is>
          <t>ÄLMHULT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44942</v>
      </c>
      <c r="E535" s="1" t="n">
        <v>46308</v>
      </c>
      <c r="F535" t="inlineStr">
        <is>
          <t>KRONOBERGS LÄN</t>
        </is>
      </c>
      <c r="G535" t="inlineStr">
        <is>
          <t>ÄLMHULT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45680</v>
      </c>
      <c r="E536" s="1" t="n">
        <v>46308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25311-2024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46308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45412</v>
      </c>
      <c r="E538" s="1" t="n">
        <v>46308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46308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45421</v>
      </c>
      <c r="E540" s="1" t="n">
        <v>46308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46308</v>
      </c>
      <c r="F541" t="inlineStr">
        <is>
          <t>KRONOBERGS LÄN</t>
        </is>
      </c>
      <c r="G541" t="inlineStr">
        <is>
          <t>ÄLMHULT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46308</v>
      </c>
      <c r="F542" t="inlineStr">
        <is>
          <t>KRONOBERGS LÄN</t>
        </is>
      </c>
      <c r="G542" t="inlineStr">
        <is>
          <t>ÄLMHULT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43140-2024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45567</v>
      </c>
      <c r="E543" s="1" t="n">
        <v>46308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62429-2023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45268</v>
      </c>
      <c r="E544" s="1" t="n">
        <v>46308</v>
      </c>
      <c r="F544" t="inlineStr">
        <is>
          <t>KRONOBERGS LÄN</t>
        </is>
      </c>
      <c r="G544" t="inlineStr">
        <is>
          <t>ÄLMHULT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44930</v>
      </c>
      <c r="E545" s="1" t="n">
        <v>46308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45698</v>
      </c>
      <c r="E546" s="1" t="n">
        <v>46308</v>
      </c>
      <c r="F546" t="inlineStr">
        <is>
          <t>KRONOBERGS LÄN</t>
        </is>
      </c>
      <c r="G546" t="inlineStr">
        <is>
          <t>ÄLMHULT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45177</v>
      </c>
      <c r="E547" s="1" t="n">
        <v>46308</v>
      </c>
      <c r="F547" t="inlineStr">
        <is>
          <t>KRONOBERGS LÄN</t>
        </is>
      </c>
      <c r="G547" t="inlineStr">
        <is>
          <t>ÄLMHULT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11014-2023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44986</v>
      </c>
      <c r="E548" s="1" t="n">
        <v>46308</v>
      </c>
      <c r="F548" t="inlineStr">
        <is>
          <t>KRONOBERGS LÄN</t>
        </is>
      </c>
      <c r="G548" t="inlineStr">
        <is>
          <t>ÄLMHULT</t>
        </is>
      </c>
      <c r="H548" t="inlineStr">
        <is>
          <t>Kyrkan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41485-2023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46308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46308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46308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45081</v>
      </c>
      <c r="E552" s="1" t="n">
        <v>46308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46308</v>
      </c>
      <c r="F553" t="inlineStr">
        <is>
          <t>KRONOBERGS LÄN</t>
        </is>
      </c>
      <c r="G553" t="inlineStr">
        <is>
          <t>ÄLMHULT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49442-2024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46308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44942</v>
      </c>
      <c r="E555" s="1" t="n">
        <v>46308</v>
      </c>
      <c r="F555" t="inlineStr">
        <is>
          <t>KRONOBERGS LÄN</t>
        </is>
      </c>
      <c r="G555" t="inlineStr">
        <is>
          <t>ÄLMHULT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45391</v>
      </c>
      <c r="E556" s="1" t="n">
        <v>46308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45373</v>
      </c>
      <c r="E557" s="1" t="n">
        <v>46308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46308</v>
      </c>
      <c r="F558" t="inlineStr">
        <is>
          <t>KRONOBERGS LÄN</t>
        </is>
      </c>
      <c r="G558" t="inlineStr">
        <is>
          <t>ÄLMHULT</t>
        </is>
      </c>
      <c r="H558" t="inlineStr">
        <is>
          <t>Sveaskog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45155</v>
      </c>
      <c r="E559" s="1" t="n">
        <v>46308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42383-2024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45564</v>
      </c>
      <c r="E560" s="1" t="n">
        <v>46308</v>
      </c>
      <c r="F560" t="inlineStr">
        <is>
          <t>KRONOBERGS LÄN</t>
        </is>
      </c>
      <c r="G560" t="inlineStr">
        <is>
          <t>ÄLMHULT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14283-2023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45010</v>
      </c>
      <c r="E561" s="1" t="n">
        <v>46308</v>
      </c>
      <c r="F561" t="inlineStr">
        <is>
          <t>KRONOBERGS LÄN</t>
        </is>
      </c>
      <c r="G561" t="inlineStr">
        <is>
          <t>ÄLMHULT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45113</v>
      </c>
      <c r="E562" s="1" t="n">
        <v>46308</v>
      </c>
      <c r="F562" t="inlineStr">
        <is>
          <t>KRONOBERGS LÄN</t>
        </is>
      </c>
      <c r="G562" t="inlineStr">
        <is>
          <t>ÄLMHULT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49903-2023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45214</v>
      </c>
      <c r="E563" s="1" t="n">
        <v>46308</v>
      </c>
      <c r="F563" t="inlineStr">
        <is>
          <t>KRONOBERGS LÄN</t>
        </is>
      </c>
      <c r="G563" t="inlineStr">
        <is>
          <t>ÄLMHULT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45217</v>
      </c>
      <c r="E564" s="1" t="n">
        <v>46308</v>
      </c>
      <c r="F564" t="inlineStr">
        <is>
          <t>KRONOBERGS LÄN</t>
        </is>
      </c>
      <c r="G564" t="inlineStr">
        <is>
          <t>ÄLMHULT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37297-2023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45156</v>
      </c>
      <c r="E565" s="1" t="n">
        <v>46308</v>
      </c>
      <c r="F565" t="inlineStr">
        <is>
          <t>KRONOBERGS LÄN</t>
        </is>
      </c>
      <c r="G565" t="inlineStr">
        <is>
          <t>ÄLMHULT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44942</v>
      </c>
      <c r="E566" s="1" t="n">
        <v>46308</v>
      </c>
      <c r="F566" t="inlineStr">
        <is>
          <t>KRONOBERGS LÄN</t>
        </is>
      </c>
      <c r="G566" t="inlineStr">
        <is>
          <t>ÄLMHULT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45539</v>
      </c>
      <c r="E567" s="1" t="n">
        <v>46308</v>
      </c>
      <c r="F567" t="inlineStr">
        <is>
          <t>KRONOBERGS LÄN</t>
        </is>
      </c>
      <c r="G567" t="inlineStr">
        <is>
          <t>ÄLMHULT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45355</v>
      </c>
      <c r="E568" s="1" t="n">
        <v>46308</v>
      </c>
      <c r="F568" t="inlineStr">
        <is>
          <t>KRONOBERGS LÄN</t>
        </is>
      </c>
      <c r="G568" t="inlineStr">
        <is>
          <t>ÄLMHULT</t>
        </is>
      </c>
      <c r="H568" t="inlineStr">
        <is>
          <t>Sveaskog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54500-2022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44882</v>
      </c>
      <c r="E569" s="1" t="n">
        <v>46308</v>
      </c>
      <c r="F569" t="inlineStr">
        <is>
          <t>KRONOBERGS LÄN</t>
        </is>
      </c>
      <c r="G569" t="inlineStr">
        <is>
          <t>ÄLMHULT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46308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41577-2023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45175</v>
      </c>
      <c r="E571" s="1" t="n">
        <v>46308</v>
      </c>
      <c r="F571" t="inlineStr">
        <is>
          <t>KRONOBERGS LÄN</t>
        </is>
      </c>
      <c r="G571" t="inlineStr">
        <is>
          <t>ÄLMHULT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45076</v>
      </c>
      <c r="E572" s="1" t="n">
        <v>46308</v>
      </c>
      <c r="F572" t="inlineStr">
        <is>
          <t>KRONOBERGS LÄN</t>
        </is>
      </c>
      <c r="G572" t="inlineStr">
        <is>
          <t>ÄLMHULT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23380-2023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45076</v>
      </c>
      <c r="E573" s="1" t="n">
        <v>46308</v>
      </c>
      <c r="F573" t="inlineStr">
        <is>
          <t>KRONOBERGS LÄN</t>
        </is>
      </c>
      <c r="G573" t="inlineStr">
        <is>
          <t>ÄLMHULT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61968-2024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46308</v>
      </c>
      <c r="F574" t="inlineStr">
        <is>
          <t>KRONOBERGS LÄN</t>
        </is>
      </c>
      <c r="G574" t="inlineStr">
        <is>
          <t>ÄLMHULT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68212-2021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44526</v>
      </c>
      <c r="E575" s="1" t="n">
        <v>46308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45612</v>
      </c>
      <c r="E576" s="1" t="n">
        <v>46308</v>
      </c>
      <c r="F576" t="inlineStr">
        <is>
          <t>KRONOBERGS LÄN</t>
        </is>
      </c>
      <c r="G576" t="inlineStr">
        <is>
          <t>ÄLMHULT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46308</v>
      </c>
      <c r="F577" t="inlineStr">
        <is>
          <t>KRONOBERGS LÄN</t>
        </is>
      </c>
      <c r="G577" t="inlineStr">
        <is>
          <t>ÄLMHULT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44816</v>
      </c>
      <c r="E578" s="1" t="n">
        <v>46308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46308</v>
      </c>
      <c r="F579" t="inlineStr">
        <is>
          <t>KRONOBERGS LÄN</t>
        </is>
      </c>
      <c r="G579" t="inlineStr">
        <is>
          <t>ÄLMHULT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49578-2023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46308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46308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20380-2024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45435</v>
      </c>
      <c r="E582" s="1" t="n">
        <v>46308</v>
      </c>
      <c r="F582" t="inlineStr">
        <is>
          <t>KRONOBERGS LÄN</t>
        </is>
      </c>
      <c r="G582" t="inlineStr">
        <is>
          <t>ÄLMHULT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45435</v>
      </c>
      <c r="E583" s="1" t="n">
        <v>46308</v>
      </c>
      <c r="F583" t="inlineStr">
        <is>
          <t>KRONOBERGS LÄN</t>
        </is>
      </c>
      <c r="G583" t="inlineStr">
        <is>
          <t>ÄLMHULT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60487-2022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44911</v>
      </c>
      <c r="E584" s="1" t="n">
        <v>46308</v>
      </c>
      <c r="F584" t="inlineStr">
        <is>
          <t>KRONOBERGS LÄN</t>
        </is>
      </c>
      <c r="G584" t="inlineStr">
        <is>
          <t>ÄLMHULT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45748</v>
      </c>
      <c r="E585" s="1" t="n">
        <v>46308</v>
      </c>
      <c r="F585" t="inlineStr">
        <is>
          <t>KRONOBERGS LÄN</t>
        </is>
      </c>
      <c r="G585" t="inlineStr">
        <is>
          <t>ÄLMHULT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12339-2024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45378</v>
      </c>
      <c r="E586" s="1" t="n">
        <v>46308</v>
      </c>
      <c r="F586" t="inlineStr">
        <is>
          <t>KRONOBERGS LÄN</t>
        </is>
      </c>
      <c r="G586" t="inlineStr">
        <is>
          <t>ÄLMHULT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45141</v>
      </c>
      <c r="E587" s="1" t="n">
        <v>46308</v>
      </c>
      <c r="F587" t="inlineStr">
        <is>
          <t>KRONOBERGS LÄN</t>
        </is>
      </c>
      <c r="G587" t="inlineStr">
        <is>
          <t>ÄLMHULT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44992</v>
      </c>
      <c r="E588" s="1" t="n">
        <v>46308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46308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47425-2023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45202</v>
      </c>
      <c r="E590" s="1" t="n">
        <v>46308</v>
      </c>
      <c r="F590" t="inlineStr">
        <is>
          <t>KRONOBERGS LÄN</t>
        </is>
      </c>
      <c r="G590" t="inlineStr">
        <is>
          <t>ÄLMHULT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47897-2024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46308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46308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50183-2022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44865</v>
      </c>
      <c r="E593" s="1" t="n">
        <v>46308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20120-2022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44698</v>
      </c>
      <c r="E594" s="1" t="n">
        <v>46308</v>
      </c>
      <c r="F594" t="inlineStr">
        <is>
          <t>KRONOBERGS LÄN</t>
        </is>
      </c>
      <c r="G594" t="inlineStr">
        <is>
          <t>ÄLMHULT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44672-2023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45189</v>
      </c>
      <c r="E595" s="1" t="n">
        <v>46308</v>
      </c>
      <c r="F595" t="inlineStr">
        <is>
          <t>KRONOBERGS LÄN</t>
        </is>
      </c>
      <c r="G595" t="inlineStr">
        <is>
          <t>ÄLMHULT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45352</v>
      </c>
      <c r="E596" s="1" t="n">
        <v>46308</v>
      </c>
      <c r="F596" t="inlineStr">
        <is>
          <t>KRONOBERGS LÄN</t>
        </is>
      </c>
      <c r="G596" t="inlineStr">
        <is>
          <t>ÄLMHULT</t>
        </is>
      </c>
      <c r="H596" t="inlineStr">
        <is>
          <t>Sveaskog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18575-2022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44687</v>
      </c>
      <c r="E597" s="1" t="n">
        <v>46308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45467</v>
      </c>
      <c r="E598" s="1" t="n">
        <v>46308</v>
      </c>
      <c r="F598" t="inlineStr">
        <is>
          <t>KRONOBERGS LÄN</t>
        </is>
      </c>
      <c r="G598" t="inlineStr">
        <is>
          <t>ÄLMHULT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49565-2023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46308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46308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45450</v>
      </c>
      <c r="E601" s="1" t="n">
        <v>46308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45253</v>
      </c>
      <c r="E602" s="1" t="n">
        <v>46308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19768-2023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46308</v>
      </c>
      <c r="F603" t="inlineStr">
        <is>
          <t>KRONOBERGS LÄN</t>
        </is>
      </c>
      <c r="G603" t="inlineStr">
        <is>
          <t>ÄLMHULT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50073-2023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45215</v>
      </c>
      <c r="E604" s="1" t="n">
        <v>46308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45078</v>
      </c>
      <c r="E605" s="1" t="n">
        <v>46308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44445-2024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45574</v>
      </c>
      <c r="E606" s="1" t="n">
        <v>46308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44992</v>
      </c>
      <c r="E607" s="1" t="n">
        <v>46308</v>
      </c>
      <c r="F607" t="inlineStr">
        <is>
          <t>KRONOBERGS LÄN</t>
        </is>
      </c>
      <c r="G607" t="inlineStr">
        <is>
          <t>ÄLMHULT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56853-2023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45244</v>
      </c>
      <c r="E608" s="1" t="n">
        <v>46308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4577-2025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45687</v>
      </c>
      <c r="E609" s="1" t="n">
        <v>46308</v>
      </c>
      <c r="F609" t="inlineStr">
        <is>
          <t>KRONOBERGS LÄN</t>
        </is>
      </c>
      <c r="G609" t="inlineStr">
        <is>
          <t>ÄLMHULT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48282-2022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46308</v>
      </c>
      <c r="F610" t="inlineStr">
        <is>
          <t>KRONOBERGS LÄN</t>
        </is>
      </c>
      <c r="G610" t="inlineStr">
        <is>
          <t>ÄLMHULT</t>
        </is>
      </c>
      <c r="I610" t="n">
        <v>14.2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37064-2024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45539</v>
      </c>
      <c r="E611" s="1" t="n">
        <v>46308</v>
      </c>
      <c r="F611" t="inlineStr">
        <is>
          <t>KRONOBERGS LÄN</t>
        </is>
      </c>
      <c r="G611" t="inlineStr">
        <is>
          <t>ÄLMHULT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45609</v>
      </c>
      <c r="E612" s="1" t="n">
        <v>46308</v>
      </c>
      <c r="F612" t="inlineStr">
        <is>
          <t>KRONOBERGS LÄN</t>
        </is>
      </c>
      <c r="G612" t="inlineStr">
        <is>
          <t>ÄLMHULT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69444-2021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44531</v>
      </c>
      <c r="E613" s="1" t="n">
        <v>46308</v>
      </c>
      <c r="F613" t="inlineStr">
        <is>
          <t>KRONOBERGS LÄN</t>
        </is>
      </c>
      <c r="G613" t="inlineStr">
        <is>
          <t>ÄLMHULT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46308</v>
      </c>
      <c r="F614" t="inlineStr">
        <is>
          <t>KRONOBERGS LÄN</t>
        </is>
      </c>
      <c r="G614" t="inlineStr">
        <is>
          <t>ÄLMHULT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45679</v>
      </c>
      <c r="E615" s="1" t="n">
        <v>46308</v>
      </c>
      <c r="F615" t="inlineStr">
        <is>
          <t>KRONOBERGS LÄN</t>
        </is>
      </c>
      <c r="G615" t="inlineStr">
        <is>
          <t>ÄLMHULT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48559-2022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44859</v>
      </c>
      <c r="E616" s="1" t="n">
        <v>46308</v>
      </c>
      <c r="F616" t="inlineStr">
        <is>
          <t>KRONOBERGS LÄN</t>
        </is>
      </c>
      <c r="G616" t="inlineStr">
        <is>
          <t>ÄLMHULT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69454-2021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44531</v>
      </c>
      <c r="E617" s="1" t="n">
        <v>46308</v>
      </c>
      <c r="F617" t="inlineStr">
        <is>
          <t>KRONOBERGS LÄN</t>
        </is>
      </c>
      <c r="G617" t="inlineStr">
        <is>
          <t>ÄLMHULT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22415-2024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45446</v>
      </c>
      <c r="E618" s="1" t="n">
        <v>46308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45616</v>
      </c>
      <c r="E619" s="1" t="n">
        <v>46308</v>
      </c>
      <c r="F619" t="inlineStr">
        <is>
          <t>KRONOBERGS LÄN</t>
        </is>
      </c>
      <c r="G619" t="inlineStr">
        <is>
          <t>ÄLMHULT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46308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46308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46308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46308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46308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46308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46308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46308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46308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46308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46308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46308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46308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46308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46308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46308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46308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46308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2026-10-13T02:00:26Z</dcterms:created>
  <dcterms:modified xmlns:dcterms="http://purl.org/dc/terms/" xmlns:xsi="http://www.w3.org/2001/XMLSchema-instance" xsi:type="dcterms:W3CDTF">2026-10-13T02:00:27Z</dcterms:modified>
</cp:coreProperties>
</file>