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46235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46235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46235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25207-2026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46171</v>
      </c>
      <c r="E12" s="1" t="n">
        <v>46235</v>
      </c>
      <c r="F12" t="inlineStr">
        <is>
          <t>KRONOBERGS LÄN</t>
        </is>
      </c>
      <c r="G12" t="inlineStr">
        <is>
          <t>ÄLMHULT</t>
        </is>
      </c>
      <c r="I12" t="n">
        <v>15.7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Havstulpanlav
Klippfrullania</t>
        </is>
      </c>
      <c r="W12">
        <f>HYPERLINK("https://klasma.github.io/Logging_0765/artfynd/A 25207-2026 artfynd.xlsx", "A 25207-2026")</f>
        <v/>
      </c>
      <c r="X12">
        <f>HYPERLINK("https://klasma.github.io/Logging_0765/kartor/A 25207-2026 karta.png", "A 25207-2026")</f>
        <v/>
      </c>
      <c r="Y12">
        <f>HYPERLINK("https://klasma.github.io/Logging_0765/kartor_geotiff/A 25207-2026 georefererad karta.tif", "A 25207-2026")</f>
        <v/>
      </c>
      <c r="AA12">
        <f>HYPERLINK("https://klasma.github.io/Logging_0765/klagomål/A 25207-2026 FSC-klagomål.docx", "A 25207-2026")</f>
        <v/>
      </c>
      <c r="AB12">
        <f>HYPERLINK("https://klasma.github.io/Logging_0765/klagomålsmail/A 25207-2026 FSC-klagomål mail.docx", "A 25207-2026")</f>
        <v/>
      </c>
      <c r="AC12">
        <f>HYPERLINK("https://klasma.github.io/Logging_0765/tillsyn/A 25207-2026 tillsynsbegäran.docx", "A 25207-2026")</f>
        <v/>
      </c>
      <c r="AD12">
        <f>HYPERLINK("https://klasma.github.io/Logging_0765/tillsynsmail/A 25207-2026 tillsynsbegäran mail.docx", "A 25207-2026")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46235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46235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46235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46235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46235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46235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46235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46235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46235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46235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46235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46235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64296-2023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45280</v>
      </c>
      <c r="E25" s="1" t="n">
        <v>46235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Silversmygare</t>
        </is>
      </c>
      <c r="W25">
        <f>HYPERLINK("https://klasma.github.io/Logging_0765/artfynd/A 64296-2023 artfynd.xlsx", "A 64296-2023")</f>
        <v/>
      </c>
      <c r="X25">
        <f>HYPERLINK("https://klasma.github.io/Logging_0765/kartor/A 64296-2023 karta.png", "A 64296-2023")</f>
        <v/>
      </c>
      <c r="Y25">
        <f>HYPERLINK("https://klasma.github.io/Logging_0765/kartor_geotiff/A 64296-2023 georefererad karta.tif", "A 64296-2023")</f>
        <v/>
      </c>
      <c r="AA25">
        <f>HYPERLINK("https://klasma.github.io/Logging_0765/klagomål/A 64296-2023 FSC-klagomål.docx", "A 64296-2023")</f>
        <v/>
      </c>
      <c r="AB25">
        <f>HYPERLINK("https://klasma.github.io/Logging_0765/klagomålsmail/A 64296-2023 FSC-klagomål mail.docx", "A 64296-2023")</f>
        <v/>
      </c>
      <c r="AC25">
        <f>HYPERLINK("https://klasma.github.io/Logging_0765/tillsyn/A 64296-2023 tillsynsbegäran.docx", "A 64296-2023")</f>
        <v/>
      </c>
      <c r="AD25">
        <f>HYPERLINK("https://klasma.github.io/Logging_0765/tillsynsmail/A 64296-2023 tillsynsbegäran mail.docx", "A 64296-2023")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46235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46235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46235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46235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46235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46235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46235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46235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46235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46235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46235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46235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46235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46235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46235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46235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46235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46235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46235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46235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46235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46235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46235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46235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46235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46235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46235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46235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46235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46235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46235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46235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46235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46235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46235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46235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46235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46235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46235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46235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46235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46235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46235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46235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46235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46235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46235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46235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46235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46235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46235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46235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46235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46235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46235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46235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46235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46235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46235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46235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46235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46235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46235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46235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46235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46235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46235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46235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46235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46235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46235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46235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46235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46235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46235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46235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46235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64280-2021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46235</v>
      </c>
      <c r="F104" t="inlineStr">
        <is>
          <t>KRONOBERGS LÄN</t>
        </is>
      </c>
      <c r="G104" t="inlineStr">
        <is>
          <t>ÄLMHULT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46235</v>
      </c>
      <c r="F105" t="inlineStr">
        <is>
          <t>KRONOBERGS LÄN</t>
        </is>
      </c>
      <c r="G105" t="inlineStr">
        <is>
          <t>ÄLMHULT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46235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46235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67941-2021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46235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44621</v>
      </c>
      <c r="E109" s="1" t="n">
        <v>46235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45457</v>
      </c>
      <c r="E110" s="1" t="n">
        <v>46235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46235</v>
      </c>
      <c r="F111" t="inlineStr">
        <is>
          <t>KRONOBERGS LÄN</t>
        </is>
      </c>
      <c r="G111" t="inlineStr">
        <is>
          <t>ÄLMHULT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44685</v>
      </c>
      <c r="E112" s="1" t="n">
        <v>46235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46235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46235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46235</v>
      </c>
      <c r="F115" t="inlineStr">
        <is>
          <t>KRONOBERGS LÄN</t>
        </is>
      </c>
      <c r="G115" t="inlineStr">
        <is>
          <t>ÄLMHULT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46235</v>
      </c>
      <c r="F116" t="inlineStr">
        <is>
          <t>KRONOBERGS LÄN</t>
        </is>
      </c>
      <c r="G116" t="inlineStr">
        <is>
          <t>ÄLMHULT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46235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46235</v>
      </c>
      <c r="F118" t="inlineStr">
        <is>
          <t>KRONOBERGS LÄN</t>
        </is>
      </c>
      <c r="G118" t="inlineStr">
        <is>
          <t>ÄLMHULT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46235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46235</v>
      </c>
      <c r="F120" t="inlineStr">
        <is>
          <t>KRONOBERGS LÄN</t>
        </is>
      </c>
      <c r="G120" t="inlineStr">
        <is>
          <t>ÄLMHULT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44545</v>
      </c>
      <c r="E121" s="1" t="n">
        <v>46235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46235</v>
      </c>
      <c r="F122" t="inlineStr">
        <is>
          <t>KRONOBERGS LÄN</t>
        </is>
      </c>
      <c r="G122" t="inlineStr">
        <is>
          <t>ÄLMHULT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44643</v>
      </c>
      <c r="E123" s="1" t="n">
        <v>46235</v>
      </c>
      <c r="F123" t="inlineStr">
        <is>
          <t>KRONOBERGS LÄN</t>
        </is>
      </c>
      <c r="G123" t="inlineStr">
        <is>
          <t>ÄLMHULT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46235</v>
      </c>
      <c r="F124" t="inlineStr">
        <is>
          <t>KRONOBERGS LÄN</t>
        </is>
      </c>
      <c r="G124" t="inlineStr">
        <is>
          <t>ÄLMHULT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44858</v>
      </c>
      <c r="E125" s="1" t="n">
        <v>46235</v>
      </c>
      <c r="F125" t="inlineStr">
        <is>
          <t>KRONOBERGS LÄN</t>
        </is>
      </c>
      <c r="G125" t="inlineStr">
        <is>
          <t>ÄLMHULT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46235</v>
      </c>
      <c r="F126" t="inlineStr">
        <is>
          <t>KRONOBERGS LÄN</t>
        </is>
      </c>
      <c r="G126" t="inlineStr">
        <is>
          <t>ÄLMHULT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46235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46235</v>
      </c>
      <c r="F128" t="inlineStr">
        <is>
          <t>KRONOBERGS LÄN</t>
        </is>
      </c>
      <c r="G128" t="inlineStr">
        <is>
          <t>ÄLMHULT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46235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46235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46235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45414</v>
      </c>
      <c r="E132" s="1" t="n">
        <v>46235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46235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46235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8329-2022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46235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44816</v>
      </c>
      <c r="E136" s="1" t="n">
        <v>46235</v>
      </c>
      <c r="F136" t="inlineStr">
        <is>
          <t>KRONOBERGS LÄN</t>
        </is>
      </c>
      <c r="G136" t="inlineStr">
        <is>
          <t>ÄLMHULT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44930</v>
      </c>
      <c r="E137" s="1" t="n">
        <v>46235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46235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46235</v>
      </c>
      <c r="F139" t="inlineStr">
        <is>
          <t>KRONOBERGS LÄN</t>
        </is>
      </c>
      <c r="G139" t="inlineStr">
        <is>
          <t>ÄLMHULT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46235</v>
      </c>
      <c r="F140" t="inlineStr">
        <is>
          <t>KRONOBERGS LÄN</t>
        </is>
      </c>
      <c r="G140" t="inlineStr">
        <is>
          <t>ÄLMHULT</t>
        </is>
      </c>
      <c r="H140" t="inlineStr">
        <is>
          <t>Sveaskog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46235</v>
      </c>
      <c r="F141" t="inlineStr">
        <is>
          <t>KRONOBERGS LÄN</t>
        </is>
      </c>
      <c r="G141" t="inlineStr">
        <is>
          <t>ÄLMHULT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46235</v>
      </c>
      <c r="F142" t="inlineStr">
        <is>
          <t>KRONOBERGS LÄN</t>
        </is>
      </c>
      <c r="G142" t="inlineStr">
        <is>
          <t>ÄLMHULT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46235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46235</v>
      </c>
      <c r="F144" t="inlineStr">
        <is>
          <t>KRONOBERGS LÄN</t>
        </is>
      </c>
      <c r="G144" t="inlineStr">
        <is>
          <t>ÄLMHULT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46235</v>
      </c>
      <c r="F145" t="inlineStr">
        <is>
          <t>KRONOBERGS LÄN</t>
        </is>
      </c>
      <c r="G145" t="inlineStr">
        <is>
          <t>ÄLMHULT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46235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46235</v>
      </c>
      <c r="F147" t="inlineStr">
        <is>
          <t>KRONOBERGS LÄN</t>
        </is>
      </c>
      <c r="G147" t="inlineStr">
        <is>
          <t>ÄLMHULT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46235</v>
      </c>
      <c r="F148" t="inlineStr">
        <is>
          <t>KRONOBERGS LÄN</t>
        </is>
      </c>
      <c r="G148" t="inlineStr">
        <is>
          <t>ÄLMHULT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46235</v>
      </c>
      <c r="F149" t="inlineStr">
        <is>
          <t>KRONOBERGS LÄN</t>
        </is>
      </c>
      <c r="G149" t="inlineStr">
        <is>
          <t>ÄLMHULT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46235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45286</v>
      </c>
      <c r="E151" s="1" t="n">
        <v>46235</v>
      </c>
      <c r="F151" t="inlineStr">
        <is>
          <t>KRONOBERGS LÄN</t>
        </is>
      </c>
      <c r="G151" t="inlineStr">
        <is>
          <t>ÄLMHULT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45497</v>
      </c>
      <c r="E152" s="1" t="n">
        <v>46235</v>
      </c>
      <c r="F152" t="inlineStr">
        <is>
          <t>KRONOBERGS LÄN</t>
        </is>
      </c>
      <c r="G152" t="inlineStr">
        <is>
          <t>ÄLMHULT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46235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46235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69444-2021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46235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46235</v>
      </c>
      <c r="F156" t="inlineStr">
        <is>
          <t>KRONOBERGS LÄN</t>
        </is>
      </c>
      <c r="G156" t="inlineStr">
        <is>
          <t>ÄLMHULT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46235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46235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46235</v>
      </c>
      <c r="F159" t="inlineStr">
        <is>
          <t>KRONOBERGS LÄN</t>
        </is>
      </c>
      <c r="G159" t="inlineStr">
        <is>
          <t>ÄLMHULT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46235</v>
      </c>
      <c r="F160" t="inlineStr">
        <is>
          <t>KRONOBERGS LÄN</t>
        </is>
      </c>
      <c r="G160" t="inlineStr">
        <is>
          <t>ÄLMHULT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46235</v>
      </c>
      <c r="F161" t="inlineStr">
        <is>
          <t>KRONOBERGS LÄN</t>
        </is>
      </c>
      <c r="G161" t="inlineStr">
        <is>
          <t>ÄLMHULT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46235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44855</v>
      </c>
      <c r="E163" s="1" t="n">
        <v>46235</v>
      </c>
      <c r="F163" t="inlineStr">
        <is>
          <t>KRONOBERGS LÄN</t>
        </is>
      </c>
      <c r="G163" t="inlineStr">
        <is>
          <t>ÄLMHULT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46235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46235</v>
      </c>
      <c r="F165" t="inlineStr">
        <is>
          <t>KRONOBERGS LÄN</t>
        </is>
      </c>
      <c r="G165" t="inlineStr">
        <is>
          <t>ÄLMHULT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46235</v>
      </c>
      <c r="F166" t="inlineStr">
        <is>
          <t>KRONOBERGS LÄN</t>
        </is>
      </c>
      <c r="G166" t="inlineStr">
        <is>
          <t>ÄLMHULT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46235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46235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46235</v>
      </c>
      <c r="F169" t="inlineStr">
        <is>
          <t>KRONOBERGS LÄN</t>
        </is>
      </c>
      <c r="G169" t="inlineStr">
        <is>
          <t>ÄLMHULT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46235</v>
      </c>
      <c r="F170" t="inlineStr">
        <is>
          <t>KRONOBERGS LÄN</t>
        </is>
      </c>
      <c r="G170" t="inlineStr">
        <is>
          <t>ÄLMHULT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46235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46235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46235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46235</v>
      </c>
      <c r="F174" t="inlineStr">
        <is>
          <t>KRONOBERGS LÄN</t>
        </is>
      </c>
      <c r="G174" t="inlineStr">
        <is>
          <t>ÄLMHULT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46235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46235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46235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46235</v>
      </c>
      <c r="F178" t="inlineStr">
        <is>
          <t>KRONOBERGS LÄN</t>
        </is>
      </c>
      <c r="G178" t="inlineStr">
        <is>
          <t>ÄLMHULT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46235</v>
      </c>
      <c r="F179" t="inlineStr">
        <is>
          <t>KRONOBERGS LÄN</t>
        </is>
      </c>
      <c r="G179" t="inlineStr">
        <is>
          <t>ÄLMHULT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46235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46235</v>
      </c>
      <c r="F181" t="inlineStr">
        <is>
          <t>KRONOBERGS LÄN</t>
        </is>
      </c>
      <c r="G181" t="inlineStr">
        <is>
          <t>ÄLMHULT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46235</v>
      </c>
      <c r="F182" t="inlineStr">
        <is>
          <t>KRONOBERGS LÄN</t>
        </is>
      </c>
      <c r="G182" t="inlineStr">
        <is>
          <t>ÄLMHULT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46235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46235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68189-2021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46235</v>
      </c>
      <c r="F185" t="inlineStr">
        <is>
          <t>KRONOBERGS LÄN</t>
        </is>
      </c>
      <c r="G185" t="inlineStr">
        <is>
          <t>ÄLMHULT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46235</v>
      </c>
      <c r="F186" t="inlineStr">
        <is>
          <t>KRONOBERGS LÄN</t>
        </is>
      </c>
      <c r="G186" t="inlineStr">
        <is>
          <t>ÄLMHULT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46235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45217</v>
      </c>
      <c r="E188" s="1" t="n">
        <v>46235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46235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46235</v>
      </c>
      <c r="F190" t="inlineStr">
        <is>
          <t>KRONOBERGS LÄN</t>
        </is>
      </c>
      <c r="G190" t="inlineStr">
        <is>
          <t>ÄLMHULT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46235</v>
      </c>
      <c r="F191" t="inlineStr">
        <is>
          <t>KRONOBERGS LÄN</t>
        </is>
      </c>
      <c r="G191" t="inlineStr">
        <is>
          <t>ÄLMHULT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46235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45384</v>
      </c>
      <c r="E193" s="1" t="n">
        <v>46235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46235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46235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46235</v>
      </c>
      <c r="F196" t="inlineStr">
        <is>
          <t>KRONOBERGS LÄN</t>
        </is>
      </c>
      <c r="G196" t="inlineStr">
        <is>
          <t>ÄLMHULT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45529</v>
      </c>
      <c r="E197" s="1" t="n">
        <v>46235</v>
      </c>
      <c r="F197" t="inlineStr">
        <is>
          <t>KRONOBERGS LÄN</t>
        </is>
      </c>
      <c r="G197" t="inlineStr">
        <is>
          <t>ÄLMHULT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44986</v>
      </c>
      <c r="E198" s="1" t="n">
        <v>46235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46235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46235</v>
      </c>
      <c r="F200" t="inlineStr">
        <is>
          <t>KRONOBERGS LÄN</t>
        </is>
      </c>
      <c r="G200" t="inlineStr">
        <is>
          <t>ÄLMHULT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46235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46235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46235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45687</v>
      </c>
      <c r="E204" s="1" t="n">
        <v>46235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46235</v>
      </c>
      <c r="F205" t="inlineStr">
        <is>
          <t>KRONOBERGS LÄN</t>
        </is>
      </c>
      <c r="G205" t="inlineStr">
        <is>
          <t>ÄLMHULT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46235</v>
      </c>
      <c r="F206" t="inlineStr">
        <is>
          <t>KRONOBERGS LÄN</t>
        </is>
      </c>
      <c r="G206" t="inlineStr">
        <is>
          <t>ÄLMHULT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46235</v>
      </c>
      <c r="F207" t="inlineStr">
        <is>
          <t>KRONOBERGS LÄN</t>
        </is>
      </c>
      <c r="G207" t="inlineStr">
        <is>
          <t>ÄLMHULT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46235</v>
      </c>
      <c r="F208" t="inlineStr">
        <is>
          <t>KRONOBERGS LÄN</t>
        </is>
      </c>
      <c r="G208" t="inlineStr">
        <is>
          <t>ÄLMHULT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44962</v>
      </c>
      <c r="E209" s="1" t="n">
        <v>46235</v>
      </c>
      <c r="F209" t="inlineStr">
        <is>
          <t>KRONOBERGS LÄN</t>
        </is>
      </c>
      <c r="G209" t="inlineStr">
        <is>
          <t>ÄLMHULT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45543</v>
      </c>
      <c r="E210" s="1" t="n">
        <v>46235</v>
      </c>
      <c r="F210" t="inlineStr">
        <is>
          <t>KRONOBERGS LÄN</t>
        </is>
      </c>
      <c r="G210" t="inlineStr">
        <is>
          <t>ÄLMHULT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46235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45513</v>
      </c>
      <c r="E212" s="1" t="n">
        <v>46235</v>
      </c>
      <c r="F212" t="inlineStr">
        <is>
          <t>KRONOBERGS LÄN</t>
        </is>
      </c>
      <c r="G212" t="inlineStr">
        <is>
          <t>ÄLMHULT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46235</v>
      </c>
      <c r="F213" t="inlineStr">
        <is>
          <t>KRONOBERGS LÄN</t>
        </is>
      </c>
      <c r="G213" t="inlineStr">
        <is>
          <t>ÄLMHULT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45733</v>
      </c>
      <c r="E214" s="1" t="n">
        <v>46235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46235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46235</v>
      </c>
      <c r="F216" t="inlineStr">
        <is>
          <t>KRONOBERGS LÄN</t>
        </is>
      </c>
      <c r="G216" t="inlineStr">
        <is>
          <t>ÄLMHULT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46235</v>
      </c>
      <c r="F217" t="inlineStr">
        <is>
          <t>KRONOBERGS LÄN</t>
        </is>
      </c>
      <c r="G217" t="inlineStr">
        <is>
          <t>ÄLMHULT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46235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46235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46235</v>
      </c>
      <c r="F220" t="inlineStr">
        <is>
          <t>KRONOBERGS LÄN</t>
        </is>
      </c>
      <c r="G220" t="inlineStr">
        <is>
          <t>ÄLMHULT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45564</v>
      </c>
      <c r="E221" s="1" t="n">
        <v>46235</v>
      </c>
      <c r="F221" t="inlineStr">
        <is>
          <t>KRONOBERGS LÄN</t>
        </is>
      </c>
      <c r="G221" t="inlineStr">
        <is>
          <t>ÄLMHULT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46235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46235</v>
      </c>
      <c r="F223" t="inlineStr">
        <is>
          <t>KRONOBERGS LÄN</t>
        </is>
      </c>
      <c r="G223" t="inlineStr">
        <is>
          <t>ÄLMHULT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46235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46235</v>
      </c>
      <c r="F225" t="inlineStr">
        <is>
          <t>KRONOBERGS LÄN</t>
        </is>
      </c>
      <c r="G225" t="inlineStr">
        <is>
          <t>ÄLMHULT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46235</v>
      </c>
      <c r="F226" t="inlineStr">
        <is>
          <t>KRONOBERGS LÄN</t>
        </is>
      </c>
      <c r="G226" t="inlineStr">
        <is>
          <t>ÄLMHULT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46235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44687</v>
      </c>
      <c r="E228" s="1" t="n">
        <v>46235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46235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46235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45446</v>
      </c>
      <c r="E231" s="1" t="n">
        <v>46235</v>
      </c>
      <c r="F231" t="inlineStr">
        <is>
          <t>KRONOBERGS LÄN</t>
        </is>
      </c>
      <c r="G231" t="inlineStr">
        <is>
          <t>ÄLMHULT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46235</v>
      </c>
      <c r="F232" t="inlineStr">
        <is>
          <t>KRONOBERGS LÄN</t>
        </is>
      </c>
      <c r="G232" t="inlineStr">
        <is>
          <t>ÄLMHULT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46235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46235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46235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46235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46235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46235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45081</v>
      </c>
      <c r="E239" s="1" t="n">
        <v>46235</v>
      </c>
      <c r="F239" t="inlineStr">
        <is>
          <t>KRONOBERGS LÄN</t>
        </is>
      </c>
      <c r="G239" t="inlineStr">
        <is>
          <t>ÄLMHULT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46235</v>
      </c>
      <c r="F240" t="inlineStr">
        <is>
          <t>KRONOBERGS LÄN</t>
        </is>
      </c>
      <c r="G240" t="inlineStr">
        <is>
          <t>ÄLMHULT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46235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46235</v>
      </c>
      <c r="F242" t="inlineStr">
        <is>
          <t>KRONOBERGS LÄN</t>
        </is>
      </c>
      <c r="G242" t="inlineStr">
        <is>
          <t>ÄLMHULT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46235</v>
      </c>
      <c r="F243" t="inlineStr">
        <is>
          <t>KRONOBERGS LÄN</t>
        </is>
      </c>
      <c r="G243" t="inlineStr">
        <is>
          <t>ÄLMHULT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46235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46235</v>
      </c>
      <c r="F245" t="inlineStr">
        <is>
          <t>KRONOBERGS LÄN</t>
        </is>
      </c>
      <c r="G245" t="inlineStr">
        <is>
          <t>ÄLMHULT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46235</v>
      </c>
      <c r="F246" t="inlineStr">
        <is>
          <t>KRONOBERGS LÄN</t>
        </is>
      </c>
      <c r="G246" t="inlineStr">
        <is>
          <t>ÄLMHULT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45578</v>
      </c>
      <c r="E247" s="1" t="n">
        <v>46235</v>
      </c>
      <c r="F247" t="inlineStr">
        <is>
          <t>KRONOBERGS LÄN</t>
        </is>
      </c>
      <c r="G247" t="inlineStr">
        <is>
          <t>ÄLMHULT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46235</v>
      </c>
      <c r="F248" t="inlineStr">
        <is>
          <t>KRONOBERGS LÄN</t>
        </is>
      </c>
      <c r="G248" t="inlineStr">
        <is>
          <t>ÄLMHULT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46235</v>
      </c>
      <c r="F249" t="inlineStr">
        <is>
          <t>KRONOBERGS LÄN</t>
        </is>
      </c>
      <c r="G249" t="inlineStr">
        <is>
          <t>ÄLMHULT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46235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46235</v>
      </c>
      <c r="F251" t="inlineStr">
        <is>
          <t>KRONOBERGS LÄN</t>
        </is>
      </c>
      <c r="G251" t="inlineStr">
        <is>
          <t>ÄLMHULT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46235</v>
      </c>
      <c r="F252" t="inlineStr">
        <is>
          <t>KRONOBERGS LÄN</t>
        </is>
      </c>
      <c r="G252" t="inlineStr">
        <is>
          <t>ÄLMHULT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46235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45010</v>
      </c>
      <c r="E254" s="1" t="n">
        <v>46235</v>
      </c>
      <c r="F254" t="inlineStr">
        <is>
          <t>KRONOBERGS LÄN</t>
        </is>
      </c>
      <c r="G254" t="inlineStr">
        <is>
          <t>ÄLMHULT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46235</v>
      </c>
      <c r="F255" t="inlineStr">
        <is>
          <t>KRONOBERGS LÄN</t>
        </is>
      </c>
      <c r="G255" t="inlineStr">
        <is>
          <t>ÄLMHULT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46235</v>
      </c>
      <c r="F256" t="inlineStr">
        <is>
          <t>KRONOBERGS LÄN</t>
        </is>
      </c>
      <c r="G256" t="inlineStr">
        <is>
          <t>ÄLMHULT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46235</v>
      </c>
      <c r="F257" t="inlineStr">
        <is>
          <t>KRONOBERGS LÄN</t>
        </is>
      </c>
      <c r="G257" t="inlineStr">
        <is>
          <t>ÄLMHULT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45177</v>
      </c>
      <c r="E258" s="1" t="n">
        <v>46235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46235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45273</v>
      </c>
      <c r="E260" s="1" t="n">
        <v>46235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46235</v>
      </c>
      <c r="F261" t="inlineStr">
        <is>
          <t>KRONOBERGS LÄN</t>
        </is>
      </c>
      <c r="G261" t="inlineStr">
        <is>
          <t>ÄLMHULT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46235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45391</v>
      </c>
      <c r="E263" s="1" t="n">
        <v>46235</v>
      </c>
      <c r="F263" t="inlineStr">
        <is>
          <t>KRONOBERGS LÄN</t>
        </is>
      </c>
      <c r="G263" t="inlineStr">
        <is>
          <t>ÄLMHULT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46235</v>
      </c>
      <c r="F264" t="inlineStr">
        <is>
          <t>KRONOBERGS LÄN</t>
        </is>
      </c>
      <c r="G264" t="inlineStr">
        <is>
          <t>ÄLMHULT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46235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46235</v>
      </c>
      <c r="F266" t="inlineStr">
        <is>
          <t>KRONOBERGS LÄN</t>
        </is>
      </c>
      <c r="G266" t="inlineStr">
        <is>
          <t>ÄLMHULT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46235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46235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45947</v>
      </c>
      <c r="E269" s="1" t="n">
        <v>46235</v>
      </c>
      <c r="F269" t="inlineStr">
        <is>
          <t>KRONOBERGS LÄN</t>
        </is>
      </c>
      <c r="G269" t="inlineStr">
        <is>
          <t>ÄLMHULT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33944-2023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45134</v>
      </c>
      <c r="E270" s="1" t="n">
        <v>46235</v>
      </c>
      <c r="F270" t="inlineStr">
        <is>
          <t>KRONOBERGS LÄN</t>
        </is>
      </c>
      <c r="G270" t="inlineStr">
        <is>
          <t>ÄLMHULT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45916</v>
      </c>
      <c r="E271" s="1" t="n">
        <v>46235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46235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46235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46235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46235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45051</v>
      </c>
      <c r="E276" s="1" t="n">
        <v>46235</v>
      </c>
      <c r="F276" t="inlineStr">
        <is>
          <t>KRONOBERGS LÄN</t>
        </is>
      </c>
      <c r="G276" t="inlineStr">
        <is>
          <t>ÄLMHULT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46235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46235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44760</v>
      </c>
      <c r="E279" s="1" t="n">
        <v>46235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46235</v>
      </c>
      <c r="F280" t="inlineStr">
        <is>
          <t>KRONOBERGS LÄN</t>
        </is>
      </c>
      <c r="G280" t="inlineStr">
        <is>
          <t>ÄLMHULT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46235</v>
      </c>
      <c r="F281" t="inlineStr">
        <is>
          <t>KRONOBERGS LÄN</t>
        </is>
      </c>
      <c r="G281" t="inlineStr">
        <is>
          <t>ÄLMHULT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68212-2021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44526</v>
      </c>
      <c r="E282" s="1" t="n">
        <v>46235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46235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46235</v>
      </c>
      <c r="F284" t="inlineStr">
        <is>
          <t>KRONOBERGS LÄN</t>
        </is>
      </c>
      <c r="G284" t="inlineStr">
        <is>
          <t>ÄLMHULT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46235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46235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46235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46235</v>
      </c>
      <c r="F288" t="inlineStr">
        <is>
          <t>KRONOBERGS LÄN</t>
        </is>
      </c>
      <c r="G288" t="inlineStr">
        <is>
          <t>ÄLMHULT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46235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46235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46235</v>
      </c>
      <c r="F291" t="inlineStr">
        <is>
          <t>KRONOBERGS LÄN</t>
        </is>
      </c>
      <c r="G291" t="inlineStr">
        <is>
          <t>ÄLMHULT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56955-2024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45628</v>
      </c>
      <c r="E292" s="1" t="n">
        <v>46235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46235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44826</v>
      </c>
      <c r="E294" s="1" t="n">
        <v>46235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46235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46235</v>
      </c>
      <c r="F296" t="inlineStr">
        <is>
          <t>KRONOBERGS LÄN</t>
        </is>
      </c>
      <c r="G296" t="inlineStr">
        <is>
          <t>ÄLMHULT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46235</v>
      </c>
      <c r="F297" t="inlineStr">
        <is>
          <t>KRONOBERGS LÄN</t>
        </is>
      </c>
      <c r="G297" t="inlineStr">
        <is>
          <t>ÄLMHULT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60621-2021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46235</v>
      </c>
      <c r="F298" t="inlineStr">
        <is>
          <t>KRONOBERGS LÄN</t>
        </is>
      </c>
      <c r="G298" t="inlineStr">
        <is>
          <t>ÄLMHULT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46235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46235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45311</v>
      </c>
      <c r="E301" s="1" t="n">
        <v>46235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46235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46235</v>
      </c>
      <c r="F303" t="inlineStr">
        <is>
          <t>KRONOBERGS LÄN</t>
        </is>
      </c>
      <c r="G303" t="inlineStr">
        <is>
          <t>ÄLMHULT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46235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46235</v>
      </c>
      <c r="F305" t="inlineStr">
        <is>
          <t>KRONOBERGS LÄN</t>
        </is>
      </c>
      <c r="G305" t="inlineStr">
        <is>
          <t>ÄLMHULT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46235</v>
      </c>
      <c r="F306" t="inlineStr">
        <is>
          <t>KRONOBERGS LÄN</t>
        </is>
      </c>
      <c r="G306" t="inlineStr">
        <is>
          <t>ÄLMHULT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46235</v>
      </c>
      <c r="F307" t="inlineStr">
        <is>
          <t>KRONOBERGS LÄN</t>
        </is>
      </c>
      <c r="G307" t="inlineStr">
        <is>
          <t>ÄLMHULT</t>
        </is>
      </c>
      <c r="H307" t="inlineStr">
        <is>
          <t>Kyrkan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46235</v>
      </c>
      <c r="F308" t="inlineStr">
        <is>
          <t>KRONOBERGS LÄN</t>
        </is>
      </c>
      <c r="G308" t="inlineStr">
        <is>
          <t>ÄLMHULT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45748</v>
      </c>
      <c r="E309" s="1" t="n">
        <v>46235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46235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46235</v>
      </c>
      <c r="F311" t="inlineStr">
        <is>
          <t>KRONOBERGS LÄN</t>
        </is>
      </c>
      <c r="G311" t="inlineStr">
        <is>
          <t>ÄLMHULT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46235</v>
      </c>
      <c r="F312" t="inlineStr">
        <is>
          <t>KRONOBERGS LÄN</t>
        </is>
      </c>
      <c r="G312" t="inlineStr">
        <is>
          <t>ÄLMHULT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46235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46235</v>
      </c>
      <c r="F314" t="inlineStr">
        <is>
          <t>KRONOBERGS LÄN</t>
        </is>
      </c>
      <c r="G314" t="inlineStr">
        <is>
          <t>ÄLMHULT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46235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45061</v>
      </c>
      <c r="E316" s="1" t="n">
        <v>46235</v>
      </c>
      <c r="F316" t="inlineStr">
        <is>
          <t>KRONOBERGS LÄN</t>
        </is>
      </c>
      <c r="G316" t="inlineStr">
        <is>
          <t>ÄLMHULT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46235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46235</v>
      </c>
      <c r="F318" t="inlineStr">
        <is>
          <t>KRONOBERGS LÄN</t>
        </is>
      </c>
      <c r="G318" t="inlineStr">
        <is>
          <t>ÄLMHULT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46235</v>
      </c>
      <c r="F319" t="inlineStr">
        <is>
          <t>KRONOBERGS LÄN</t>
        </is>
      </c>
      <c r="G319" t="inlineStr">
        <is>
          <t>ÄLMHULT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46235</v>
      </c>
      <c r="F320" t="inlineStr">
        <is>
          <t>KRONOBERGS LÄN</t>
        </is>
      </c>
      <c r="G320" t="inlineStr">
        <is>
          <t>ÄLMHULT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46235</v>
      </c>
      <c r="F321" t="inlineStr">
        <is>
          <t>KRONOBERGS LÄN</t>
        </is>
      </c>
      <c r="G321" t="inlineStr">
        <is>
          <t>ÄLMHULT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46235</v>
      </c>
      <c r="F322" t="inlineStr">
        <is>
          <t>KRONOBERGS LÄN</t>
        </is>
      </c>
      <c r="G322" t="inlineStr">
        <is>
          <t>ÄLMHULT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46235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46235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45638</v>
      </c>
      <c r="E325" s="1" t="n">
        <v>46235</v>
      </c>
      <c r="F325" t="inlineStr">
        <is>
          <t>KRONOBERGS LÄN</t>
        </is>
      </c>
      <c r="G325" t="inlineStr">
        <is>
          <t>ÄLMHULT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46235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46235</v>
      </c>
      <c r="F327" t="inlineStr">
        <is>
          <t>KRONOBERGS LÄN</t>
        </is>
      </c>
      <c r="G327" t="inlineStr">
        <is>
          <t>ÄLMHULT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46235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46235</v>
      </c>
      <c r="F329" t="inlineStr">
        <is>
          <t>KRONOBERGS LÄN</t>
        </is>
      </c>
      <c r="G329" t="inlineStr">
        <is>
          <t>ÄLMHULT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45078</v>
      </c>
      <c r="E330" s="1" t="n">
        <v>46235</v>
      </c>
      <c r="F330" t="inlineStr">
        <is>
          <t>KRONOBERGS LÄN</t>
        </is>
      </c>
      <c r="G330" t="inlineStr">
        <is>
          <t>ÄLMHULT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46235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46235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46235</v>
      </c>
      <c r="F333" t="inlineStr">
        <is>
          <t>KRONOBERGS LÄN</t>
        </is>
      </c>
      <c r="G333" t="inlineStr">
        <is>
          <t>ÄLMHULT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59803-2025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45992</v>
      </c>
      <c r="E334" s="1" t="n">
        <v>46235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46235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59780-2025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45992</v>
      </c>
      <c r="E336" s="1" t="n">
        <v>46235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45612</v>
      </c>
      <c r="E337" s="1" t="n">
        <v>46235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59771-2025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45992</v>
      </c>
      <c r="E338" s="1" t="n">
        <v>46235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45051</v>
      </c>
      <c r="E339" s="1" t="n">
        <v>46235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46235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46235</v>
      </c>
      <c r="F341" t="inlineStr">
        <is>
          <t>KRONOBERGS LÄN</t>
        </is>
      </c>
      <c r="G341" t="inlineStr">
        <is>
          <t>ÄLMHULT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44529</v>
      </c>
      <c r="E342" s="1" t="n">
        <v>46235</v>
      </c>
      <c r="F342" t="inlineStr">
        <is>
          <t>KRONOBERGS LÄN</t>
        </is>
      </c>
      <c r="G342" t="inlineStr">
        <is>
          <t>ÄLMHULT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46235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45133</v>
      </c>
      <c r="E344" s="1" t="n">
        <v>46235</v>
      </c>
      <c r="F344" t="inlineStr">
        <is>
          <t>KRONOBERGS LÄN</t>
        </is>
      </c>
      <c r="G344" t="inlineStr">
        <is>
          <t>ÄLMHULT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46235</v>
      </c>
      <c r="F345" t="inlineStr">
        <is>
          <t>KRONOBERGS LÄN</t>
        </is>
      </c>
      <c r="G345" t="inlineStr">
        <is>
          <t>ÄLMHULT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45467</v>
      </c>
      <c r="E346" s="1" t="n">
        <v>46235</v>
      </c>
      <c r="F346" t="inlineStr">
        <is>
          <t>KRONOBERGS LÄN</t>
        </is>
      </c>
      <c r="G346" t="inlineStr">
        <is>
          <t>ÄLMHULT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46235</v>
      </c>
      <c r="F347" t="inlineStr">
        <is>
          <t>KRONOBERGS LÄN</t>
        </is>
      </c>
      <c r="G347" t="inlineStr">
        <is>
          <t>ÄLMHULT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46235</v>
      </c>
      <c r="F348" t="inlineStr">
        <is>
          <t>KRONOBERGS LÄN</t>
        </is>
      </c>
      <c r="G348" t="inlineStr">
        <is>
          <t>ÄLMHULT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46235</v>
      </c>
      <c r="F349" t="inlineStr">
        <is>
          <t>KRONOBERGS LÄN</t>
        </is>
      </c>
      <c r="G349" t="inlineStr">
        <is>
          <t>ÄLMHULT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46235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46235</v>
      </c>
      <c r="F351" t="inlineStr">
        <is>
          <t>KRONOBERGS LÄN</t>
        </is>
      </c>
      <c r="G351" t="inlineStr">
        <is>
          <t>ÄLMHULT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46235</v>
      </c>
      <c r="F352" t="inlineStr">
        <is>
          <t>KRONOBERGS LÄN</t>
        </is>
      </c>
      <c r="G352" t="inlineStr">
        <is>
          <t>ÄLMHULT</t>
        </is>
      </c>
      <c r="H352" t="inlineStr">
        <is>
          <t>Kommuner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46235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44858</v>
      </c>
      <c r="E354" s="1" t="n">
        <v>46235</v>
      </c>
      <c r="F354" t="inlineStr">
        <is>
          <t>KRONOBERGS LÄN</t>
        </is>
      </c>
      <c r="G354" t="inlineStr">
        <is>
          <t>ÄLMHULT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46005</v>
      </c>
      <c r="E355" s="1" t="n">
        <v>46235</v>
      </c>
      <c r="F355" t="inlineStr">
        <is>
          <t>KRONOBERGS LÄN</t>
        </is>
      </c>
      <c r="G355" t="inlineStr">
        <is>
          <t>ÄLMHULT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44438</v>
      </c>
      <c r="E356" s="1" t="n">
        <v>46235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46235</v>
      </c>
      <c r="F357" t="inlineStr">
        <is>
          <t>KRONOBERGS LÄN</t>
        </is>
      </c>
      <c r="G357" t="inlineStr">
        <is>
          <t>ÄLMHULT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45433</v>
      </c>
      <c r="E358" s="1" t="n">
        <v>46235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59114-2022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46235</v>
      </c>
      <c r="F359" t="inlineStr">
        <is>
          <t>KRONOBERGS LÄN</t>
        </is>
      </c>
      <c r="G359" t="inlineStr">
        <is>
          <t>ÄLMHULT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46235</v>
      </c>
      <c r="F360" t="inlineStr">
        <is>
          <t>KRONOBERGS LÄN</t>
        </is>
      </c>
      <c r="G360" t="inlineStr">
        <is>
          <t>ÄLMHULT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44942</v>
      </c>
      <c r="E361" s="1" t="n">
        <v>46235</v>
      </c>
      <c r="F361" t="inlineStr">
        <is>
          <t>KRONOBERGS LÄN</t>
        </is>
      </c>
      <c r="G361" t="inlineStr">
        <is>
          <t>ÄLMHULT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43876-2021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44434</v>
      </c>
      <c r="E362" s="1" t="n">
        <v>46235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46235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46235</v>
      </c>
      <c r="F364" t="inlineStr">
        <is>
          <t>KRONOBERGS LÄN</t>
        </is>
      </c>
      <c r="G364" t="inlineStr">
        <is>
          <t>ÄLMHULT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46235</v>
      </c>
      <c r="F365" t="inlineStr">
        <is>
          <t>KRONOBERGS LÄN</t>
        </is>
      </c>
      <c r="G365" t="inlineStr">
        <is>
          <t>ÄLMHULT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46235</v>
      </c>
      <c r="F366" t="inlineStr">
        <is>
          <t>KRONOBERGS LÄN</t>
        </is>
      </c>
      <c r="G366" t="inlineStr">
        <is>
          <t>ÄLMHULT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46235</v>
      </c>
      <c r="F367" t="inlineStr">
        <is>
          <t>KRONOBERGS LÄN</t>
        </is>
      </c>
      <c r="G367" t="inlineStr">
        <is>
          <t>ÄLMHULT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46235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45049</v>
      </c>
      <c r="E369" s="1" t="n">
        <v>46235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63569-2021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46235</v>
      </c>
      <c r="F370" t="inlineStr">
        <is>
          <t>KRONOBERGS LÄN</t>
        </is>
      </c>
      <c r="G370" t="inlineStr">
        <is>
          <t>ÄLMHULT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46235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45653</v>
      </c>
      <c r="E372" s="1" t="n">
        <v>46235</v>
      </c>
      <c r="F372" t="inlineStr">
        <is>
          <t>KRONOBERGS LÄN</t>
        </is>
      </c>
      <c r="G372" t="inlineStr">
        <is>
          <t>ÄLMHULT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27334-2025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45812</v>
      </c>
      <c r="E373" s="1" t="n">
        <v>46235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46235</v>
      </c>
      <c r="F374" t="inlineStr">
        <is>
          <t>KRONOBERGS LÄN</t>
        </is>
      </c>
      <c r="G374" t="inlineStr">
        <is>
          <t>ÄLMHULT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46235</v>
      </c>
      <c r="F375" t="inlineStr">
        <is>
          <t>KRONOBERGS LÄN</t>
        </is>
      </c>
      <c r="G375" t="inlineStr">
        <is>
          <t>ÄLMHULT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46235</v>
      </c>
      <c r="F376" t="inlineStr">
        <is>
          <t>KRONOBERGS LÄN</t>
        </is>
      </c>
      <c r="G376" t="inlineStr">
        <is>
          <t>ÄLMHULT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45010</v>
      </c>
      <c r="E377" s="1" t="n">
        <v>46235</v>
      </c>
      <c r="F377" t="inlineStr">
        <is>
          <t>KRONOBERGS LÄN</t>
        </is>
      </c>
      <c r="G377" t="inlineStr">
        <is>
          <t>ÄLMHULT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46235</v>
      </c>
      <c r="F378" t="inlineStr">
        <is>
          <t>KRONOBERGS LÄN</t>
        </is>
      </c>
      <c r="G378" t="inlineStr">
        <is>
          <t>ÄLMHULT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46235</v>
      </c>
      <c r="F379" t="inlineStr">
        <is>
          <t>KRONOBERGS LÄN</t>
        </is>
      </c>
      <c r="G379" t="inlineStr">
        <is>
          <t>ÄLMHULT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46235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46216</v>
      </c>
      <c r="E381" s="1" t="n">
        <v>46235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46216</v>
      </c>
      <c r="E382" s="1" t="n">
        <v>46235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46235</v>
      </c>
      <c r="F383" t="inlineStr">
        <is>
          <t>KRONOBERGS LÄN</t>
        </is>
      </c>
      <c r="G383" t="inlineStr">
        <is>
          <t>ÄLMHULT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46235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46235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46216</v>
      </c>
      <c r="E386" s="1" t="n">
        <v>46235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45228</v>
      </c>
      <c r="E387" s="1" t="n">
        <v>46235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46235</v>
      </c>
      <c r="F388" t="inlineStr">
        <is>
          <t>KRONOBERGS LÄN</t>
        </is>
      </c>
      <c r="G388" t="inlineStr">
        <is>
          <t>ÄLMHULT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58831-2023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46235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44922</v>
      </c>
      <c r="E390" s="1" t="n">
        <v>46235</v>
      </c>
      <c r="F390" t="inlineStr">
        <is>
          <t>KRONOBERGS LÄN</t>
        </is>
      </c>
      <c r="G390" t="inlineStr">
        <is>
          <t>ÄLMHULT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63742-2025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46016</v>
      </c>
      <c r="E391" s="1" t="n">
        <v>46235</v>
      </c>
      <c r="F391" t="inlineStr">
        <is>
          <t>KRONOBERGS LÄN</t>
        </is>
      </c>
      <c r="G391" t="inlineStr">
        <is>
          <t>ÄLMHULT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46216</v>
      </c>
      <c r="E392" s="1" t="n">
        <v>46235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46235</v>
      </c>
      <c r="F393" t="inlineStr">
        <is>
          <t>KRONOBERGS LÄN</t>
        </is>
      </c>
      <c r="G393" t="inlineStr">
        <is>
          <t>ÄLMHULT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46235</v>
      </c>
      <c r="F394" t="inlineStr">
        <is>
          <t>KRONOBERGS LÄN</t>
        </is>
      </c>
      <c r="G394" t="inlineStr">
        <is>
          <t>ÄLMHULT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46235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46235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46235</v>
      </c>
      <c r="F397" t="inlineStr">
        <is>
          <t>KRONOBERGS LÄN</t>
        </is>
      </c>
      <c r="G397" t="inlineStr">
        <is>
          <t>ÄLMHULT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46216</v>
      </c>
      <c r="E398" s="1" t="n">
        <v>46235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46216</v>
      </c>
      <c r="E399" s="1" t="n">
        <v>46235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46235</v>
      </c>
      <c r="F400" t="inlineStr">
        <is>
          <t>KRONOBERGS LÄN</t>
        </is>
      </c>
      <c r="G400" t="inlineStr">
        <is>
          <t>ÄLMHULT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46235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44935</v>
      </c>
      <c r="E402" s="1" t="n">
        <v>46235</v>
      </c>
      <c r="F402" t="inlineStr">
        <is>
          <t>KRONOBERGS LÄN</t>
        </is>
      </c>
      <c r="G402" t="inlineStr">
        <is>
          <t>ÄLMHULT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44992</v>
      </c>
      <c r="E403" s="1" t="n">
        <v>46235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46235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45303</v>
      </c>
      <c r="E405" s="1" t="n">
        <v>46235</v>
      </c>
      <c r="F405" t="inlineStr">
        <is>
          <t>KRONOBERGS LÄN</t>
        </is>
      </c>
      <c r="G405" t="inlineStr">
        <is>
          <t>ÄLMHULT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46235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46235</v>
      </c>
      <c r="F407" t="inlineStr">
        <is>
          <t>KRONOBERGS LÄN</t>
        </is>
      </c>
      <c r="G407" t="inlineStr">
        <is>
          <t>ÄLMHULT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46235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13606-2023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45006</v>
      </c>
      <c r="E409" s="1" t="n">
        <v>46235</v>
      </c>
      <c r="F409" t="inlineStr">
        <is>
          <t>KRONOBERGS LÄN</t>
        </is>
      </c>
      <c r="G409" t="inlineStr">
        <is>
          <t>ÄLMHULT</t>
        </is>
      </c>
      <c r="H409" t="inlineStr">
        <is>
          <t>Kommuner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45092</v>
      </c>
      <c r="E410" s="1" t="n">
        <v>46235</v>
      </c>
      <c r="F410" t="inlineStr">
        <is>
          <t>KRONOBERGS LÄN</t>
        </is>
      </c>
      <c r="G410" t="inlineStr">
        <is>
          <t>ÄLMHULT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46235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46235</v>
      </c>
      <c r="F412" t="inlineStr">
        <is>
          <t>KRONOBERGS LÄN</t>
        </is>
      </c>
      <c r="G412" t="inlineStr">
        <is>
          <t>ÄLMHULT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46235</v>
      </c>
      <c r="F413" t="inlineStr">
        <is>
          <t>KRONOBERGS LÄN</t>
        </is>
      </c>
      <c r="G413" t="inlineStr">
        <is>
          <t>ÄLMHULT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46235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46235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46235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71802-2021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44543</v>
      </c>
      <c r="E417" s="1" t="n">
        <v>46235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46235</v>
      </c>
      <c r="F418" t="inlineStr">
        <is>
          <t>KRONOBERGS LÄN</t>
        </is>
      </c>
      <c r="G418" t="inlineStr">
        <is>
          <t>ÄLMHULT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46235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46235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45450</v>
      </c>
      <c r="E421" s="1" t="n">
        <v>46235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46235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67257-2021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44523</v>
      </c>
      <c r="E423" s="1" t="n">
        <v>46235</v>
      </c>
      <c r="F423" t="inlineStr">
        <is>
          <t>KRONOBERGS LÄN</t>
        </is>
      </c>
      <c r="G423" t="inlineStr">
        <is>
          <t>ÄLMHULT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44476</v>
      </c>
      <c r="E424" s="1" t="n">
        <v>46235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46235</v>
      </c>
      <c r="F425" t="inlineStr">
        <is>
          <t>KRONOBERGS LÄN</t>
        </is>
      </c>
      <c r="G425" t="inlineStr">
        <is>
          <t>ÄLMHULT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44473</v>
      </c>
      <c r="E426" s="1" t="n">
        <v>46235</v>
      </c>
      <c r="F426" t="inlineStr">
        <is>
          <t>KRONOBERGS LÄN</t>
        </is>
      </c>
      <c r="G426" t="inlineStr">
        <is>
          <t>ÄLMHULT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46235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46235</v>
      </c>
      <c r="F428" t="inlineStr">
        <is>
          <t>KRONOBERGS LÄN</t>
        </is>
      </c>
      <c r="G428" t="inlineStr">
        <is>
          <t>ÄLMHULT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46235</v>
      </c>
      <c r="F429" t="inlineStr">
        <is>
          <t>KRONOBERGS LÄN</t>
        </is>
      </c>
      <c r="G429" t="inlineStr">
        <is>
          <t>ÄLMHULT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  <c r="Z429">
        <f>HYPERLINK("https://klasma.github.io/Logging_0765/knärot/A 27756-2023 karta knärot.png", "A 27756-2023")</f>
        <v/>
      </c>
      <c r="AA429">
        <f>HYPERLINK("https://klasma.github.io/Logging_0765/klagomål/A 27756-2023 FSC-klagomål.docx", "A 27756-2023")</f>
        <v/>
      </c>
      <c r="AB429">
        <f>HYPERLINK("https://klasma.github.io/Logging_0765/klagomålsmail/A 27756-2023 FSC-klagomål mail.docx", "A 27756-2023")</f>
        <v/>
      </c>
      <c r="AC429">
        <f>HYPERLINK("https://klasma.github.io/Logging_0765/tillsyn/A 27756-2023 tillsynsbegäran.docx", "A 27756-2023")</f>
        <v/>
      </c>
      <c r="AD429">
        <f>HYPERLINK("https://klasma.github.io/Logging_0765/tillsynsmail/A 27756-2023 tillsynsbegäran mail.docx", "A 27756-2023")</f>
        <v/>
      </c>
    </row>
    <row r="430" ht="15" customHeight="1">
      <c r="A430" t="inlineStr">
        <is>
          <t>A 4325-2026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46235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46235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46235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46226</v>
      </c>
      <c r="E433" s="1" t="n">
        <v>46235</v>
      </c>
      <c r="F433" t="inlineStr">
        <is>
          <t>KRONOBERGS LÄN</t>
        </is>
      </c>
      <c r="G433" t="inlineStr">
        <is>
          <t>ÄLMHULT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46235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46226</v>
      </c>
      <c r="E435" s="1" t="n">
        <v>46235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37297-2023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46235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46235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45539</v>
      </c>
      <c r="E438" s="1" t="n">
        <v>46235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45133</v>
      </c>
      <c r="E439" s="1" t="n">
        <v>46235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46235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46235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46235</v>
      </c>
      <c r="F442" t="inlineStr">
        <is>
          <t>KRONOBERGS LÄN</t>
        </is>
      </c>
      <c r="G442" t="inlineStr">
        <is>
          <t>ÄLMHULT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46235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44979</v>
      </c>
      <c r="E444" s="1" t="n">
        <v>46235</v>
      </c>
      <c r="F444" t="inlineStr">
        <is>
          <t>KRONOBERGS LÄN</t>
        </is>
      </c>
      <c r="G444" t="inlineStr">
        <is>
          <t>ÄLMHULT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46235</v>
      </c>
      <c r="F445" t="inlineStr">
        <is>
          <t>KRONOBERGS LÄN</t>
        </is>
      </c>
      <c r="G445" t="inlineStr">
        <is>
          <t>ÄLMHULT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46235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46227</v>
      </c>
      <c r="E447" s="1" t="n">
        <v>46235</v>
      </c>
      <c r="F447" t="inlineStr">
        <is>
          <t>KRONOBERGS LÄN</t>
        </is>
      </c>
      <c r="G447" t="inlineStr">
        <is>
          <t>ÄLMHULT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45010</v>
      </c>
      <c r="E448" s="1" t="n">
        <v>46235</v>
      </c>
      <c r="F448" t="inlineStr">
        <is>
          <t>KRONOBERGS LÄN</t>
        </is>
      </c>
      <c r="G448" t="inlineStr">
        <is>
          <t>ÄLMHULT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46227</v>
      </c>
      <c r="E449" s="1" t="n">
        <v>46235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46235</v>
      </c>
      <c r="F450" t="inlineStr">
        <is>
          <t>KRONOBERGS LÄN</t>
        </is>
      </c>
      <c r="G450" t="inlineStr">
        <is>
          <t>ÄLMHULT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46061</v>
      </c>
      <c r="E451" s="1" t="n">
        <v>46235</v>
      </c>
      <c r="F451" t="inlineStr">
        <is>
          <t>KRONOBERGS LÄN</t>
        </is>
      </c>
      <c r="G451" t="inlineStr">
        <is>
          <t>ÄLMHULT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46235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46063</v>
      </c>
      <c r="E453" s="1" t="n">
        <v>46235</v>
      </c>
      <c r="F453" t="inlineStr">
        <is>
          <t>KRONOBERGS LÄN</t>
        </is>
      </c>
      <c r="G453" t="inlineStr">
        <is>
          <t>ÄLMHULT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46235</v>
      </c>
      <c r="F454" t="inlineStr">
        <is>
          <t>KRONOBERGS LÄN</t>
        </is>
      </c>
      <c r="G454" t="inlineStr">
        <is>
          <t>ÄLMHULT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46235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45539</v>
      </c>
      <c r="E456" s="1" t="n">
        <v>46235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46235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45355</v>
      </c>
      <c r="E458" s="1" t="n">
        <v>46235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44777</v>
      </c>
      <c r="E459" s="1" t="n">
        <v>46235</v>
      </c>
      <c r="F459" t="inlineStr">
        <is>
          <t>KRONOBERGS LÄN</t>
        </is>
      </c>
      <c r="G459" t="inlineStr">
        <is>
          <t>ÄLMHULT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46235</v>
      </c>
      <c r="F460" t="inlineStr">
        <is>
          <t>KRONOBERGS LÄN</t>
        </is>
      </c>
      <c r="G460" t="inlineStr">
        <is>
          <t>ÄLMHULT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46235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46235</v>
      </c>
      <c r="F462" t="inlineStr">
        <is>
          <t>KRONOBERGS LÄN</t>
        </is>
      </c>
      <c r="G462" t="inlineStr">
        <is>
          <t>ÄLMHULT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61968-2024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45653</v>
      </c>
      <c r="E463" s="1" t="n">
        <v>46235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46235</v>
      </c>
      <c r="F464" t="inlineStr">
        <is>
          <t>KRONOBERGS LÄN</t>
        </is>
      </c>
      <c r="G464" t="inlineStr">
        <is>
          <t>ÄLMHULT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46235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46235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32126-2026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46234</v>
      </c>
      <c r="E467" s="1" t="n">
        <v>46235</v>
      </c>
      <c r="F467" t="inlineStr">
        <is>
          <t>KRONOBERGS LÄN</t>
        </is>
      </c>
      <c r="G467" t="inlineStr">
        <is>
          <t>ÄLMHULT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30322-2025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45827</v>
      </c>
      <c r="E468" s="1" t="n">
        <v>46235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64773-2023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45282</v>
      </c>
      <c r="E469" s="1" t="n">
        <v>46235</v>
      </c>
      <c r="F469" t="inlineStr">
        <is>
          <t>KRONOBERGS LÄN</t>
        </is>
      </c>
      <c r="G469" t="inlineStr">
        <is>
          <t>ÄLMHULT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44686</v>
      </c>
      <c r="E470" s="1" t="n">
        <v>46235</v>
      </c>
      <c r="F470" t="inlineStr">
        <is>
          <t>KRONOBERGS LÄN</t>
        </is>
      </c>
      <c r="G470" t="inlineStr">
        <is>
          <t>ÄLMHULT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46235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46235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46235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46235</v>
      </c>
      <c r="F474" t="inlineStr">
        <is>
          <t>KRONOBERGS LÄN</t>
        </is>
      </c>
      <c r="G474" t="inlineStr">
        <is>
          <t>ÄLMHULT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46235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45443</v>
      </c>
      <c r="E476" s="1" t="n">
        <v>46235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46235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45191</v>
      </c>
      <c r="E478" s="1" t="n">
        <v>46235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44921</v>
      </c>
      <c r="E479" s="1" t="n">
        <v>46235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45716</v>
      </c>
      <c r="E480" s="1" t="n">
        <v>46235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45378</v>
      </c>
      <c r="E481" s="1" t="n">
        <v>46235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46235</v>
      </c>
      <c r="F482" t="inlineStr">
        <is>
          <t>KRONOBERGS LÄN</t>
        </is>
      </c>
      <c r="G482" t="inlineStr">
        <is>
          <t>ÄLMHULT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44531</v>
      </c>
      <c r="E483" s="1" t="n">
        <v>46235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44587</v>
      </c>
      <c r="E484" s="1" t="n">
        <v>46235</v>
      </c>
      <c r="F484" t="inlineStr">
        <is>
          <t>KRONOBERGS LÄN</t>
        </is>
      </c>
      <c r="G484" t="inlineStr">
        <is>
          <t>ÄLMHULT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45062</v>
      </c>
      <c r="E485" s="1" t="n">
        <v>46235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46235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46235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45222</v>
      </c>
      <c r="E488" s="1" t="n">
        <v>46235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44592</v>
      </c>
      <c r="E489" s="1" t="n">
        <v>46235</v>
      </c>
      <c r="F489" t="inlineStr">
        <is>
          <t>KRONOBERGS LÄN</t>
        </is>
      </c>
      <c r="G489" t="inlineStr">
        <is>
          <t>ÄLMHULT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46235</v>
      </c>
      <c r="F490" t="inlineStr">
        <is>
          <t>KRONOBERGS LÄN</t>
        </is>
      </c>
      <c r="G490" t="inlineStr">
        <is>
          <t>ÄLMHULT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45759</v>
      </c>
      <c r="E491" s="1" t="n">
        <v>46235</v>
      </c>
      <c r="F491" t="inlineStr">
        <is>
          <t>KRONOBERGS LÄN</t>
        </is>
      </c>
      <c r="G491" t="inlineStr">
        <is>
          <t>ÄLMHULT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46235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46235</v>
      </c>
      <c r="F493" t="inlineStr">
        <is>
          <t>KRONOBERGS LÄN</t>
        </is>
      </c>
      <c r="G493" t="inlineStr">
        <is>
          <t>ÄLMHULT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45653</v>
      </c>
      <c r="E494" s="1" t="n">
        <v>46235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48159-2024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45589</v>
      </c>
      <c r="E495" s="1" t="n">
        <v>46235</v>
      </c>
      <c r="F495" t="inlineStr">
        <is>
          <t>KRONOBERGS LÄN</t>
        </is>
      </c>
      <c r="G495" t="inlineStr">
        <is>
          <t>ÄLMHULT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46235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11782-2022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46235</v>
      </c>
      <c r="F497" t="inlineStr">
        <is>
          <t>KRONOBERGS LÄN</t>
        </is>
      </c>
      <c r="G497" t="inlineStr">
        <is>
          <t>ÄLMHULT</t>
        </is>
      </c>
      <c r="I497" t="n">
        <v>6.2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44861</v>
      </c>
      <c r="E498" s="1" t="n">
        <v>46235</v>
      </c>
      <c r="F498" t="inlineStr">
        <is>
          <t>KRONOBERGS LÄN</t>
        </is>
      </c>
      <c r="G498" t="inlineStr">
        <is>
          <t>ÄLMHULT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46235</v>
      </c>
      <c r="F499" t="inlineStr">
        <is>
          <t>KRONOBERGS LÄN</t>
        </is>
      </c>
      <c r="G499" t="inlineStr">
        <is>
          <t>ÄLMHULT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45716</v>
      </c>
      <c r="E500" s="1" t="n">
        <v>46235</v>
      </c>
      <c r="F500" t="inlineStr">
        <is>
          <t>KRONOBERGS LÄN</t>
        </is>
      </c>
      <c r="G500" t="inlineStr">
        <is>
          <t>ÄLMHULT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44698</v>
      </c>
      <c r="E501" s="1" t="n">
        <v>46235</v>
      </c>
      <c r="F501" t="inlineStr">
        <is>
          <t>KRONOBERGS LÄN</t>
        </is>
      </c>
      <c r="G501" t="inlineStr">
        <is>
          <t>ÄLMHULT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45771</v>
      </c>
      <c r="E502" s="1" t="n">
        <v>46235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46235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46235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46235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46235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46235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46235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46235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46235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46235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46235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43140-2024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45567</v>
      </c>
      <c r="E513" s="1" t="n">
        <v>46235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46235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46235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45693</v>
      </c>
      <c r="E516" s="1" t="n">
        <v>46235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46235</v>
      </c>
      <c r="F517" t="inlineStr">
        <is>
          <t>KRONOBERGS LÄN</t>
        </is>
      </c>
      <c r="G517" t="inlineStr">
        <is>
          <t>ÄLMHULT</t>
        </is>
      </c>
      <c r="H517" t="inlineStr">
        <is>
          <t>Sveaskog</t>
        </is>
      </c>
      <c r="I517" t="n">
        <v>15.6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45698</v>
      </c>
      <c r="E518" s="1" t="n">
        <v>46235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46235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46235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46235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46235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44928</v>
      </c>
      <c r="E523" s="1" t="n">
        <v>46235</v>
      </c>
      <c r="F523" t="inlineStr">
        <is>
          <t>KRONOBERGS LÄN</t>
        </is>
      </c>
      <c r="G523" t="inlineStr">
        <is>
          <t>ÄLMHULT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45209</v>
      </c>
      <c r="E524" s="1" t="n">
        <v>46235</v>
      </c>
      <c r="F524" t="inlineStr">
        <is>
          <t>KRONOBERGS LÄN</t>
        </is>
      </c>
      <c r="G524" t="inlineStr">
        <is>
          <t>ÄLMHULT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46235</v>
      </c>
      <c r="F525" t="inlineStr">
        <is>
          <t>KRONOBERGS LÄN</t>
        </is>
      </c>
      <c r="G525" t="inlineStr">
        <is>
          <t>ÄLMHULT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45202</v>
      </c>
      <c r="E526" s="1" t="n">
        <v>46235</v>
      </c>
      <c r="F526" t="inlineStr">
        <is>
          <t>KRONOBERGS LÄN</t>
        </is>
      </c>
      <c r="G526" t="inlineStr">
        <is>
          <t>ÄLMHULT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42490-2023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45180</v>
      </c>
      <c r="E527" s="1" t="n">
        <v>46235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45680</v>
      </c>
      <c r="E528" s="1" t="n">
        <v>46235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46235</v>
      </c>
      <c r="F529" t="inlineStr">
        <is>
          <t>KRONOBERGS LÄN</t>
        </is>
      </c>
      <c r="G529" t="inlineStr">
        <is>
          <t>ÄLMHULT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45663</v>
      </c>
      <c r="E530" s="1" t="n">
        <v>46235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45214</v>
      </c>
      <c r="E531" s="1" t="n">
        <v>46235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45776</v>
      </c>
      <c r="E532" s="1" t="n">
        <v>46235</v>
      </c>
      <c r="F532" t="inlineStr">
        <is>
          <t>KRONOBERGS LÄN</t>
        </is>
      </c>
      <c r="G532" t="inlineStr">
        <is>
          <t>ÄLMHULT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46235</v>
      </c>
      <c r="F533" t="inlineStr">
        <is>
          <t>KRONOBERGS LÄN</t>
        </is>
      </c>
      <c r="G533" t="inlineStr">
        <is>
          <t>ÄLMHULT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45175</v>
      </c>
      <c r="E534" s="1" t="n">
        <v>46235</v>
      </c>
      <c r="F534" t="inlineStr">
        <is>
          <t>KRONOBERGS LÄN</t>
        </is>
      </c>
      <c r="G534" t="inlineStr">
        <is>
          <t>ÄLMHULT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43827-2023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46235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46235</v>
      </c>
      <c r="F536" t="inlineStr">
        <is>
          <t>KRONOBERGS LÄN</t>
        </is>
      </c>
      <c r="G536" t="inlineStr">
        <is>
          <t>ÄLMHULT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45781</v>
      </c>
      <c r="E537" s="1" t="n">
        <v>46235</v>
      </c>
      <c r="F537" t="inlineStr">
        <is>
          <t>KRONOBERGS LÄN</t>
        </is>
      </c>
      <c r="G537" t="inlineStr">
        <is>
          <t>ÄLMHULT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46235</v>
      </c>
      <c r="F538" t="inlineStr">
        <is>
          <t>KRONOBERGS LÄN</t>
        </is>
      </c>
      <c r="G538" t="inlineStr">
        <is>
          <t>ÄLMHULT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54363-2023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45233</v>
      </c>
      <c r="E539" s="1" t="n">
        <v>46235</v>
      </c>
      <c r="F539" t="inlineStr">
        <is>
          <t>KRONOBERGS LÄN</t>
        </is>
      </c>
      <c r="G539" t="inlineStr">
        <is>
          <t>ÄLMHULT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54364-2023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45233</v>
      </c>
      <c r="E540" s="1" t="n">
        <v>46235</v>
      </c>
      <c r="F540" t="inlineStr">
        <is>
          <t>KRONOBERGS LÄN</t>
        </is>
      </c>
      <c r="G540" t="inlineStr">
        <is>
          <t>ÄLMHULT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56266-2024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45624</v>
      </c>
      <c r="E541" s="1" t="n">
        <v>46235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46235</v>
      </c>
      <c r="F542" t="inlineStr">
        <is>
          <t>KRONOBERGS LÄN</t>
        </is>
      </c>
      <c r="G542" t="inlineStr">
        <is>
          <t>ÄLMHULT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45638</v>
      </c>
      <c r="E543" s="1" t="n">
        <v>46235</v>
      </c>
      <c r="F543" t="inlineStr">
        <is>
          <t>KRONOBERGS LÄN</t>
        </is>
      </c>
      <c r="G543" t="inlineStr">
        <is>
          <t>ÄLMHULT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16320-2024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45407</v>
      </c>
      <c r="E544" s="1" t="n">
        <v>46235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46235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46235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45612</v>
      </c>
      <c r="E547" s="1" t="n">
        <v>46235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46235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46235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45679</v>
      </c>
      <c r="E550" s="1" t="n">
        <v>46235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45167</v>
      </c>
      <c r="E551" s="1" t="n">
        <v>46235</v>
      </c>
      <c r="F551" t="inlineStr">
        <is>
          <t>KRONOBERGS LÄN</t>
        </is>
      </c>
      <c r="G551" t="inlineStr">
        <is>
          <t>ÄLMHULT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46235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45352</v>
      </c>
      <c r="E553" s="1" t="n">
        <v>46235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49327-2025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45938</v>
      </c>
      <c r="E554" s="1" t="n">
        <v>46235</v>
      </c>
      <c r="F554" t="inlineStr">
        <is>
          <t>KRONOBERGS LÄN</t>
        </is>
      </c>
      <c r="G554" t="inlineStr">
        <is>
          <t>ÄLMHULT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46235</v>
      </c>
      <c r="F555" t="inlineStr">
        <is>
          <t>KRONOBERGS LÄN</t>
        </is>
      </c>
      <c r="G555" t="inlineStr">
        <is>
          <t>ÄLMHULT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45250</v>
      </c>
      <c r="E556" s="1" t="n">
        <v>46235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45250</v>
      </c>
      <c r="E557" s="1" t="n">
        <v>46235</v>
      </c>
      <c r="F557" t="inlineStr">
        <is>
          <t>KRONOBERGS LÄN</t>
        </is>
      </c>
      <c r="G557" t="inlineStr">
        <is>
          <t>ÄLMHULT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45253</v>
      </c>
      <c r="E558" s="1" t="n">
        <v>46235</v>
      </c>
      <c r="F558" t="inlineStr">
        <is>
          <t>KRONOBERGS LÄN</t>
        </is>
      </c>
      <c r="G558" t="inlineStr">
        <is>
          <t>ÄLMHULT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46235</v>
      </c>
      <c r="F559" t="inlineStr">
        <is>
          <t>KRONOBERGS LÄN</t>
        </is>
      </c>
      <c r="G559" t="inlineStr">
        <is>
          <t>ÄLMHULT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45421</v>
      </c>
      <c r="E560" s="1" t="n">
        <v>46235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45531</v>
      </c>
      <c r="E561" s="1" t="n">
        <v>46235</v>
      </c>
      <c r="F561" t="inlineStr">
        <is>
          <t>KRONOBERGS LÄN</t>
        </is>
      </c>
      <c r="G561" t="inlineStr">
        <is>
          <t>ÄLMHULT</t>
        </is>
      </c>
      <c r="H561" t="inlineStr">
        <is>
          <t>Kyrkan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49578-2023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46235</v>
      </c>
      <c r="F562" t="inlineStr">
        <is>
          <t>KRONOBERGS LÄN</t>
        </is>
      </c>
      <c r="G562" t="inlineStr">
        <is>
          <t>ÄLMHULT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45911</v>
      </c>
      <c r="E563" s="1" t="n">
        <v>46235</v>
      </c>
      <c r="F563" t="inlineStr">
        <is>
          <t>KRONOBERGS LÄN</t>
        </is>
      </c>
      <c r="G563" t="inlineStr">
        <is>
          <t>ÄLMHULT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45084</v>
      </c>
      <c r="E564" s="1" t="n">
        <v>46235</v>
      </c>
      <c r="F564" t="inlineStr">
        <is>
          <t>KRONOBERGS LÄN</t>
        </is>
      </c>
      <c r="G564" t="inlineStr">
        <is>
          <t>ÄLMHULT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46235</v>
      </c>
      <c r="F565" t="inlineStr">
        <is>
          <t>KRONOBERGS LÄN</t>
        </is>
      </c>
      <c r="G565" t="inlineStr">
        <is>
          <t>ÄLMHULT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60690-2021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44496</v>
      </c>
      <c r="E566" s="1" t="n">
        <v>46235</v>
      </c>
      <c r="F566" t="inlineStr">
        <is>
          <t>KRONOBERGS LÄN</t>
        </is>
      </c>
      <c r="G566" t="inlineStr">
        <is>
          <t>ÄLMHULT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46235</v>
      </c>
      <c r="F567" t="inlineStr">
        <is>
          <t>KRONOBERGS LÄN</t>
        </is>
      </c>
      <c r="G567" t="inlineStr">
        <is>
          <t>ÄLMHULT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46235</v>
      </c>
      <c r="F568" t="inlineStr">
        <is>
          <t>KRONOBERGS LÄN</t>
        </is>
      </c>
      <c r="G568" t="inlineStr">
        <is>
          <t>ÄLMHULT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45268</v>
      </c>
      <c r="E569" s="1" t="n">
        <v>46235</v>
      </c>
      <c r="F569" t="inlineStr">
        <is>
          <t>KRONOBERGS LÄN</t>
        </is>
      </c>
      <c r="G569" t="inlineStr">
        <is>
          <t>ÄLMHULT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45469</v>
      </c>
      <c r="E570" s="1" t="n">
        <v>46235</v>
      </c>
      <c r="F570" t="inlineStr">
        <is>
          <t>KRONOBERGS LÄN</t>
        </is>
      </c>
      <c r="G570" t="inlineStr">
        <is>
          <t>ÄLMHULT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46235</v>
      </c>
      <c r="F571" t="inlineStr">
        <is>
          <t>KRONOBERGS LÄN</t>
        </is>
      </c>
      <c r="G571" t="inlineStr">
        <is>
          <t>ÄLMHULT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53053-2022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46235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45440</v>
      </c>
      <c r="E573" s="1" t="n">
        <v>46235</v>
      </c>
      <c r="F573" t="inlineStr">
        <is>
          <t>KRONOBERGS LÄN</t>
        </is>
      </c>
      <c r="G573" t="inlineStr">
        <is>
          <t>ÄLMHULT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44921</v>
      </c>
      <c r="E574" s="1" t="n">
        <v>46235</v>
      </c>
      <c r="F574" t="inlineStr">
        <is>
          <t>KRONOBERGS LÄN</t>
        </is>
      </c>
      <c r="G574" t="inlineStr">
        <is>
          <t>ÄLMHULT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12947-2025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45734</v>
      </c>
      <c r="E575" s="1" t="n">
        <v>46235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52175-2024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46235</v>
      </c>
      <c r="F576" t="inlineStr">
        <is>
          <t>KRONOBERGS LÄN</t>
        </is>
      </c>
      <c r="G576" t="inlineStr">
        <is>
          <t>ÄLMHULT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46235</v>
      </c>
      <c r="F577" t="inlineStr">
        <is>
          <t>KRONOBERGS LÄN</t>
        </is>
      </c>
      <c r="G577" t="inlineStr">
        <is>
          <t>ÄLMHULT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46235</v>
      </c>
      <c r="F578" t="inlineStr">
        <is>
          <t>KRONOBERGS LÄN</t>
        </is>
      </c>
      <c r="G578" t="inlineStr">
        <is>
          <t>ÄLMHULT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46235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46235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46235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45663</v>
      </c>
      <c r="E582" s="1" t="n">
        <v>46235</v>
      </c>
      <c r="F582" t="inlineStr">
        <is>
          <t>KRONOBERGS LÄN</t>
        </is>
      </c>
      <c r="G582" t="inlineStr">
        <is>
          <t>ÄLMHULT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64618-2021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44511</v>
      </c>
      <c r="E583" s="1" t="n">
        <v>46235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46235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45804</v>
      </c>
      <c r="E585" s="1" t="n">
        <v>46235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46235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46235</v>
      </c>
      <c r="F587" t="inlineStr">
        <is>
          <t>KRONOBERGS LÄN</t>
        </is>
      </c>
      <c r="G587" t="inlineStr">
        <is>
          <t>ÄLMHULT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45695</v>
      </c>
      <c r="E588" s="1" t="n">
        <v>46235</v>
      </c>
      <c r="F588" t="inlineStr">
        <is>
          <t>KRONOBERGS LÄN</t>
        </is>
      </c>
      <c r="G588" t="inlineStr">
        <is>
          <t>ÄLMHULT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46235</v>
      </c>
      <c r="F589" t="inlineStr">
        <is>
          <t>KRONOBERGS LÄN</t>
        </is>
      </c>
      <c r="G589" t="inlineStr">
        <is>
          <t>ÄLMHULT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46235</v>
      </c>
      <c r="F590" t="inlineStr">
        <is>
          <t>KRONOBERGS LÄN</t>
        </is>
      </c>
      <c r="G590" t="inlineStr">
        <is>
          <t>ÄLMHULT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45441</v>
      </c>
      <c r="E591" s="1" t="n">
        <v>46235</v>
      </c>
      <c r="F591" t="inlineStr">
        <is>
          <t>KRONOBERGS LÄN</t>
        </is>
      </c>
      <c r="G591" t="inlineStr">
        <is>
          <t>ÄLMHULT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46235</v>
      </c>
      <c r="F592" t="inlineStr">
        <is>
          <t>KRONOBERGS LÄN</t>
        </is>
      </c>
      <c r="G592" t="inlineStr">
        <is>
          <t>ÄLMHULT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46235</v>
      </c>
      <c r="F593" t="inlineStr">
        <is>
          <t>KRONOBERGS LÄN</t>
        </is>
      </c>
      <c r="G593" t="inlineStr">
        <is>
          <t>ÄLMHULT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32233-2025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45835</v>
      </c>
      <c r="E594" s="1" t="n">
        <v>46235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44641</v>
      </c>
      <c r="E595" s="1" t="n">
        <v>46235</v>
      </c>
      <c r="F595" t="inlineStr">
        <is>
          <t>KRONOBERGS LÄN</t>
        </is>
      </c>
      <c r="G595" t="inlineStr">
        <is>
          <t>ÄLMHULT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46235</v>
      </c>
      <c r="F596" t="inlineStr">
        <is>
          <t>KRONOBERGS LÄN</t>
        </is>
      </c>
      <c r="G596" t="inlineStr">
        <is>
          <t>ÄLMHULT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46235</v>
      </c>
      <c r="F597" t="inlineStr">
        <is>
          <t>KRONOBERGS LÄN</t>
        </is>
      </c>
      <c r="G597" t="inlineStr">
        <is>
          <t>ÄLMHULT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46235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33771-2025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45842</v>
      </c>
      <c r="E599" s="1" t="n">
        <v>46235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33311-2025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46235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45529</v>
      </c>
      <c r="E601" s="1" t="n">
        <v>46235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34384-2025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46235</v>
      </c>
      <c r="F602" t="inlineStr">
        <is>
          <t>KRONOBERGS LÄN</t>
        </is>
      </c>
      <c r="G602" t="inlineStr">
        <is>
          <t>ÄLMHULT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46235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46235</v>
      </c>
      <c r="F604" t="inlineStr">
        <is>
          <t>KRONOBERGS LÄN</t>
        </is>
      </c>
      <c r="G604" t="inlineStr">
        <is>
          <t>ÄLMHULT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46235</v>
      </c>
      <c r="F605" t="inlineStr">
        <is>
          <t>KRONOBERGS LÄN</t>
        </is>
      </c>
      <c r="G605" t="inlineStr">
        <is>
          <t>ÄLMHULT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45854</v>
      </c>
      <c r="E606" s="1" t="n">
        <v>46235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46235</v>
      </c>
      <c r="F607" t="inlineStr">
        <is>
          <t>KRONOBERGS LÄN</t>
        </is>
      </c>
      <c r="G607" t="inlineStr">
        <is>
          <t>ÄLMHULT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46235</v>
      </c>
      <c r="F608" t="inlineStr">
        <is>
          <t>KRONOBERGS LÄN</t>
        </is>
      </c>
      <c r="G608" t="inlineStr">
        <is>
          <t>ÄLMHULT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46235</v>
      </c>
      <c r="F609" t="inlineStr">
        <is>
          <t>KRONOBERGS LÄN</t>
        </is>
      </c>
      <c r="G609" t="inlineStr">
        <is>
          <t>ÄLMHULT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46235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44979</v>
      </c>
      <c r="E611" s="1" t="n">
        <v>46235</v>
      </c>
      <c r="F611" t="inlineStr">
        <is>
          <t>KRONOBERGS LÄN</t>
        </is>
      </c>
      <c r="G611" t="inlineStr">
        <is>
          <t>ÄLMHULT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46235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46235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46235</v>
      </c>
      <c r="F614" t="inlineStr">
        <is>
          <t>KRONOBERGS LÄN</t>
        </is>
      </c>
      <c r="G614" t="inlineStr">
        <is>
          <t>ÄLMHULT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45867</v>
      </c>
      <c r="E615" s="1" t="n">
        <v>46235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46235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45476</v>
      </c>
      <c r="E617" s="1" t="n">
        <v>46235</v>
      </c>
      <c r="F617" t="inlineStr">
        <is>
          <t>KRONOBERGS LÄN</t>
        </is>
      </c>
      <c r="G617" t="inlineStr">
        <is>
          <t>ÄLMHULT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46235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46235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46235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46235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46235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46235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46235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46235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46235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46235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46235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46235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46235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46235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46235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46235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46235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46235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46235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2026-08-01T01:52:41Z</dcterms:created>
  <dcterms:modified xmlns:dcterms="http://purl.org/dc/terms/" xmlns:xsi="http://www.w3.org/2001/XMLSchema-instance" xsi:type="dcterms:W3CDTF">2026-08-01T01:52:42Z</dcterms:modified>
</cp:coreProperties>
</file>