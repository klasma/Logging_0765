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46305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46305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46305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41957-2022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44830</v>
      </c>
      <c r="E12" s="1" t="n">
        <v>46305</v>
      </c>
      <c r="F12" t="inlineStr">
        <is>
          <t>KRONOBERGS LÄN</t>
        </is>
      </c>
      <c r="G12" t="inlineStr">
        <is>
          <t>ÄLMHULT</t>
        </is>
      </c>
      <c r="I12" t="n">
        <v>3.2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Linmåra/småsnärjmåra
Fläcknycklar</t>
        </is>
      </c>
      <c r="W12">
        <f>HYPERLINK("https://klasma.github.io/Logging_0765/artfynd/A 41957-2022 artfynd.xlsx", "A 41957-2022")</f>
        <v/>
      </c>
      <c r="X12">
        <f>HYPERLINK("https://klasma.github.io/Logging_0765/kartor/A 41957-2022 karta.png", "A 41957-2022")</f>
        <v/>
      </c>
      <c r="Y12">
        <f>HYPERLINK("https://klasma.github.io/Logging_0765/kartor_geotiff/A 41957-2022 georefererad karta.tif", "A 41957-2022")</f>
        <v/>
      </c>
      <c r="AA12">
        <f>HYPERLINK("https://klasma.github.io/Logging_0765/klagomål/A 41957-2022 FSC-klagomål.docx", "A 41957-2022")</f>
        <v/>
      </c>
      <c r="AB12">
        <f>HYPERLINK("https://klasma.github.io/Logging_0765/klagomålsmail/A 41957-2022 FSC-klagomål mail.docx", "A 41957-2022")</f>
        <v/>
      </c>
      <c r="AC12">
        <f>HYPERLINK("https://klasma.github.io/Logging_0765/tillsyn/A 41957-2022 tillsynsbegäran.docx", "A 41957-2022")</f>
        <v/>
      </c>
      <c r="AD12">
        <f>HYPERLINK("https://klasma.github.io/Logging_0765/tillsynsmail/A 41957-2022 tillsynsbegäran mail.docx", "A 41957-2022")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46305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28325-2025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45818</v>
      </c>
      <c r="E14" s="1" t="n">
        <v>46305</v>
      </c>
      <c r="F14" t="inlineStr">
        <is>
          <t>KRONOBERGS LÄN</t>
        </is>
      </c>
      <c r="G14" t="inlineStr">
        <is>
          <t>ÄLMHULT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Lopplummer (aggregat)</t>
        </is>
      </c>
      <c r="W14">
        <f>HYPERLINK("https://klasma.github.io/Logging_0765/artfynd/A 28325-2025 artfynd.xlsx", "A 28325-2025")</f>
        <v/>
      </c>
      <c r="X14">
        <f>HYPERLINK("https://klasma.github.io/Logging_0765/kartor/A 28325-2025 karta.png", "A 28325-2025")</f>
        <v/>
      </c>
      <c r="Y14">
        <f>HYPERLINK("https://klasma.github.io/Logging_0765/kartor_geotiff/A 28325-2025 georefererad karta.tif", "A 28325-2025")</f>
        <v/>
      </c>
      <c r="AA14">
        <f>HYPERLINK("https://klasma.github.io/Logging_0765/klagomål/A 28325-2025 FSC-klagomål.docx", "A 28325-2025")</f>
        <v/>
      </c>
      <c r="AB14">
        <f>HYPERLINK("https://klasma.github.io/Logging_0765/klagomålsmail/A 28325-2025 FSC-klagomål mail.docx", "A 28325-2025")</f>
        <v/>
      </c>
      <c r="AC14">
        <f>HYPERLINK("https://klasma.github.io/Logging_0765/tillsyn/A 28325-2025 tillsynsbegäran.docx", "A 28325-2025")</f>
        <v/>
      </c>
      <c r="AD14">
        <f>HYPERLINK("https://klasma.github.io/Logging_0765/tillsynsmail/A 28325-2025 tillsynsbegäran mail.docx", "A 28325-2025")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46305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46305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46305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46305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46305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64296-2023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45280</v>
      </c>
      <c r="E20" s="1" t="n">
        <v>46305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Silversmygare</t>
        </is>
      </c>
      <c r="W20">
        <f>HYPERLINK("https://klasma.github.io/Logging_0765/artfynd/A 64296-2023 artfynd.xlsx", "A 64296-2023")</f>
        <v/>
      </c>
      <c r="X20">
        <f>HYPERLINK("https://klasma.github.io/Logging_0765/kartor/A 64296-2023 karta.png", "A 64296-2023")</f>
        <v/>
      </c>
      <c r="Y20">
        <f>HYPERLINK("https://klasma.github.io/Logging_0765/kartor_geotiff/A 64296-2023 georefererad karta.tif", "A 64296-2023")</f>
        <v/>
      </c>
      <c r="AA20">
        <f>HYPERLINK("https://klasma.github.io/Logging_0765/klagomål/A 64296-2023 FSC-klagomål.docx", "A 64296-2023")</f>
        <v/>
      </c>
      <c r="AB20">
        <f>HYPERLINK("https://klasma.github.io/Logging_0765/klagomålsmail/A 64296-2023 FSC-klagomål mail.docx", "A 64296-2023")</f>
        <v/>
      </c>
      <c r="AC20">
        <f>HYPERLINK("https://klasma.github.io/Logging_0765/tillsyn/A 64296-2023 tillsynsbegäran.docx", "A 64296-2023")</f>
        <v/>
      </c>
      <c r="AD20">
        <f>HYPERLINK("https://klasma.github.io/Logging_0765/tillsynsmail/A 64296-2023 tillsynsbegäran mail.docx", "A 64296-2023")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46305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46305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46305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46305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54470-2022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46305</v>
      </c>
      <c r="F25" t="inlineStr">
        <is>
          <t>KRONOBERGS LÄN</t>
        </is>
      </c>
      <c r="G25" t="inlineStr">
        <is>
          <t>ÄLMHULT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HYPERLINK("https://klasma.github.io/Logging_0765/artfynd/A 54470-2022 artfynd.xlsx", "A 54470-2022")</f>
        <v/>
      </c>
      <c r="X25">
        <f>HYPERLINK("https://klasma.github.io/Logging_0765/kartor/A 54470-2022 karta.png", "A 54470-2022")</f>
        <v/>
      </c>
      <c r="Y25">
        <f>HYPERLINK("https://klasma.github.io/Logging_0765/kartor_geotiff/A 54470-2022 georefererad karta.tif", "A 54470-2022")</f>
        <v/>
      </c>
      <c r="AA25">
        <f>HYPERLINK("https://klasma.github.io/Logging_0765/klagomål/A 54470-2022 FSC-klagomål.docx", "A 54470-2022")</f>
        <v/>
      </c>
      <c r="AB25">
        <f>HYPERLINK("https://klasma.github.io/Logging_0765/klagomålsmail/A 54470-2022 FSC-klagomål mail.docx", "A 54470-2022")</f>
        <v/>
      </c>
      <c r="AC25">
        <f>HYPERLINK("https://klasma.github.io/Logging_0765/tillsyn/A 54470-2022 tillsynsbegäran.docx", "A 54470-2022")</f>
        <v/>
      </c>
      <c r="AD25">
        <f>HYPERLINK("https://klasma.github.io/Logging_0765/tillsynsmail/A 54470-2022 tillsynsbegäran mail.docx", "A 54470-2022")</f>
        <v/>
      </c>
    </row>
    <row r="26" ht="15" customHeight="1">
      <c r="A26" t="inlineStr">
        <is>
          <t>A 10199-2025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46305</v>
      </c>
      <c r="F26" t="inlineStr">
        <is>
          <t>KRONOBERGS LÄN</t>
        </is>
      </c>
      <c r="G26" t="inlineStr">
        <is>
          <t>ÄLMHULT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HYPERLINK("https://klasma.github.io/Logging_0765/artfynd/A 10199-2025 artfynd.xlsx", "A 10199-2025")</f>
        <v/>
      </c>
      <c r="X26">
        <f>HYPERLINK("https://klasma.github.io/Logging_0765/kartor/A 10199-2025 karta.png", "A 10199-2025")</f>
        <v/>
      </c>
      <c r="Y26">
        <f>HYPERLINK("https://klasma.github.io/Logging_0765/kartor_geotiff/A 10199-2025 georefererad karta.tif", "A 10199-2025")</f>
        <v/>
      </c>
      <c r="AA26">
        <f>HYPERLINK("https://klasma.github.io/Logging_0765/klagomål/A 10199-2025 FSC-klagomål.docx", "A 10199-2025")</f>
        <v/>
      </c>
      <c r="AB26">
        <f>HYPERLINK("https://klasma.github.io/Logging_0765/klagomålsmail/A 10199-2025 FSC-klagomål mail.docx", "A 10199-2025")</f>
        <v/>
      </c>
      <c r="AC26">
        <f>HYPERLINK("https://klasma.github.io/Logging_0765/tillsyn/A 10199-2025 tillsynsbegäran.docx", "A 10199-2025")</f>
        <v/>
      </c>
      <c r="AD26">
        <f>HYPERLINK("https://klasma.github.io/Logging_0765/tillsynsmail/A 10199-2025 tillsynsbegäran mail.docx", "A 10199-2025")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46305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35531-2025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45856</v>
      </c>
      <c r="E28" s="1" t="n">
        <v>46305</v>
      </c>
      <c r="F28" t="inlineStr">
        <is>
          <t>KRONOBERGS LÄN</t>
        </is>
      </c>
      <c r="G28" t="inlineStr">
        <is>
          <t>ÄLMHULT</t>
        </is>
      </c>
      <c r="I28" t="n">
        <v>5.2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35531-2025 artfynd.xlsx", "A 35531-2025")</f>
        <v/>
      </c>
      <c r="X28">
        <f>HYPERLINK("https://klasma.github.io/Logging_0765/kartor/A 35531-2025 karta.png", "A 35531-2025")</f>
        <v/>
      </c>
      <c r="Y28">
        <f>HYPERLINK("https://klasma.github.io/Logging_0765/kartor_geotiff/A 35531-2025 georefererad karta.tif", "A 35531-2025")</f>
        <v/>
      </c>
      <c r="AA28">
        <f>HYPERLINK("https://klasma.github.io/Logging_0765/klagomål/A 35531-2025 FSC-klagomål.docx", "A 35531-2025")</f>
        <v/>
      </c>
      <c r="AB28">
        <f>HYPERLINK("https://klasma.github.io/Logging_0765/klagomålsmail/A 35531-2025 FSC-klagomål mail.docx", "A 35531-2025")</f>
        <v/>
      </c>
      <c r="AC28">
        <f>HYPERLINK("https://klasma.github.io/Logging_0765/tillsyn/A 35531-2025 tillsynsbegäran.docx", "A 35531-2025")</f>
        <v/>
      </c>
      <c r="AD28">
        <f>HYPERLINK("https://klasma.github.io/Logging_0765/tillsynsmail/A 35531-2025 tillsynsbegäran mail.docx", "A 35531-2025")</f>
        <v/>
      </c>
      <c r="AE28">
        <f>HYPERLINK("https://klasma.github.io/Logging_0765/fåglar/A 35531-2025 prioriterade fågelarter.docx", "A 35531-2025")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46305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46305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46305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46305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46305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46305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46305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46305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46305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46305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46305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46305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46305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46305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46305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46305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46305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46305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46305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46305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46305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46305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46305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46305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46305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46305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46305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46305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46305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46305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46305</v>
      </c>
      <c r="F59" t="inlineStr">
        <is>
          <t>KRONOBERGS LÄN</t>
        </is>
      </c>
      <c r="G59" t="inlineStr">
        <is>
          <t>ÄLMHULT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46305</v>
      </c>
      <c r="F60" t="inlineStr">
        <is>
          <t>KRONOBERGS LÄN</t>
        </is>
      </c>
      <c r="G60" t="inlineStr">
        <is>
          <t>ÄLMHULT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46305</v>
      </c>
      <c r="F61" t="inlineStr">
        <is>
          <t>KRONOBERGS LÄN</t>
        </is>
      </c>
      <c r="G61" t="inlineStr">
        <is>
          <t>ÄLMHULT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46305</v>
      </c>
      <c r="F62" t="inlineStr">
        <is>
          <t>KRONOBERGS LÄN</t>
        </is>
      </c>
      <c r="G62" t="inlineStr">
        <is>
          <t>ÄLMHULT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46305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46305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46305</v>
      </c>
      <c r="F65" t="inlineStr">
        <is>
          <t>KRONOBERGS LÄN</t>
        </is>
      </c>
      <c r="G65" t="inlineStr">
        <is>
          <t>ÄLMHULT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64280-2021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46305</v>
      </c>
      <c r="F66" t="inlineStr">
        <is>
          <t>KRONOBERGS LÄN</t>
        </is>
      </c>
      <c r="G66" t="inlineStr">
        <is>
          <t>ÄLMHULT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66897-2021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46305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46305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64686-2021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46305</v>
      </c>
      <c r="F69" t="inlineStr">
        <is>
          <t>KRONOBERGS LÄN</t>
        </is>
      </c>
      <c r="G69" t="inlineStr">
        <is>
          <t>ÄLMHULT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46305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46305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46305</v>
      </c>
      <c r="F72" t="inlineStr">
        <is>
          <t>KRONOBERGS LÄN</t>
        </is>
      </c>
      <c r="G72" t="inlineStr">
        <is>
          <t>ÄLMHULT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46305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46305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67941-2021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46305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44685</v>
      </c>
      <c r="E76" s="1" t="n">
        <v>46305</v>
      </c>
      <c r="F76" t="inlineStr">
        <is>
          <t>KRONOBERGS LÄN</t>
        </is>
      </c>
      <c r="G76" t="inlineStr">
        <is>
          <t>ÄLMHULT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46305</v>
      </c>
      <c r="F77" t="inlineStr">
        <is>
          <t>KRONOBERGS LÄN</t>
        </is>
      </c>
      <c r="G77" t="inlineStr">
        <is>
          <t>ÄLMHULT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46305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46305</v>
      </c>
      <c r="F79" t="inlineStr">
        <is>
          <t>KRONOBERGS LÄN</t>
        </is>
      </c>
      <c r="G79" t="inlineStr">
        <is>
          <t>ÄLMHULT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46305</v>
      </c>
      <c r="F80" t="inlineStr">
        <is>
          <t>KRONOBERGS LÄN</t>
        </is>
      </c>
      <c r="G80" t="inlineStr">
        <is>
          <t>ÄLMHULT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46305</v>
      </c>
      <c r="F81" t="inlineStr">
        <is>
          <t>KRONOBERGS LÄN</t>
        </is>
      </c>
      <c r="G81" t="inlineStr">
        <is>
          <t>ÄLMHULT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46305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44680</v>
      </c>
      <c r="E83" s="1" t="n">
        <v>46305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46305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46305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46305</v>
      </c>
      <c r="F86" t="inlineStr">
        <is>
          <t>KRONOBERGS LÄN</t>
        </is>
      </c>
      <c r="G86" t="inlineStr">
        <is>
          <t>ÄLMHULT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68552-2021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46305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46305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46305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46305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45061</v>
      </c>
      <c r="E91" s="1" t="n">
        <v>46305</v>
      </c>
      <c r="F91" t="inlineStr">
        <is>
          <t>KRONOBERGS LÄN</t>
        </is>
      </c>
      <c r="G91" t="inlineStr">
        <is>
          <t>ÄLMHULT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46305</v>
      </c>
      <c r="F92" t="inlineStr">
        <is>
          <t>KRONOBERGS LÄN</t>
        </is>
      </c>
      <c r="G92" t="inlineStr">
        <is>
          <t>ÄLMHULT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46305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46305</v>
      </c>
      <c r="F94" t="inlineStr">
        <is>
          <t>KRONOBERGS LÄN</t>
        </is>
      </c>
      <c r="G94" t="inlineStr">
        <is>
          <t>ÄLMHULT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46305</v>
      </c>
      <c r="F95" t="inlineStr">
        <is>
          <t>KRONOBERGS LÄN</t>
        </is>
      </c>
      <c r="G95" t="inlineStr">
        <is>
          <t>ÄLMHULT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46305</v>
      </c>
      <c r="F96" t="inlineStr">
        <is>
          <t>KRONOBERGS LÄN</t>
        </is>
      </c>
      <c r="G96" t="inlineStr">
        <is>
          <t>ÄLMHULT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46305</v>
      </c>
      <c r="F97" t="inlineStr">
        <is>
          <t>KRONOBERGS LÄN</t>
        </is>
      </c>
      <c r="G97" t="inlineStr">
        <is>
          <t>ÄLMHULT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46305</v>
      </c>
      <c r="F98" t="inlineStr">
        <is>
          <t>KRONOBERGS LÄN</t>
        </is>
      </c>
      <c r="G98" t="inlineStr">
        <is>
          <t>ÄLMHULT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46305</v>
      </c>
      <c r="F99" t="inlineStr">
        <is>
          <t>KRONOBERGS LÄN</t>
        </is>
      </c>
      <c r="G99" t="inlineStr">
        <is>
          <t>ÄLMHULT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45090</v>
      </c>
      <c r="E100" s="1" t="n">
        <v>46305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46305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45612</v>
      </c>
      <c r="E102" s="1" t="n">
        <v>46305</v>
      </c>
      <c r="F102" t="inlineStr">
        <is>
          <t>KRONOBERGS LÄN</t>
        </is>
      </c>
      <c r="G102" t="inlineStr">
        <is>
          <t>ÄLMHULT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46305</v>
      </c>
      <c r="F103" t="inlineStr">
        <is>
          <t>KRONOBERGS LÄN</t>
        </is>
      </c>
      <c r="G103" t="inlineStr">
        <is>
          <t>ÄLMHULT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46305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46305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46305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46305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46305</v>
      </c>
      <c r="F108" t="inlineStr">
        <is>
          <t>KRONOBERGS LÄN</t>
        </is>
      </c>
      <c r="G108" t="inlineStr">
        <is>
          <t>ÄLMHULT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46305</v>
      </c>
      <c r="F109" t="inlineStr">
        <is>
          <t>KRONOBERGS LÄN</t>
        </is>
      </c>
      <c r="G109" t="inlineStr">
        <is>
          <t>ÄLMHULT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46305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46305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45374</v>
      </c>
      <c r="E112" s="1" t="n">
        <v>46305</v>
      </c>
      <c r="F112" t="inlineStr">
        <is>
          <t>KRONOBERGS LÄN</t>
        </is>
      </c>
      <c r="G112" t="inlineStr">
        <is>
          <t>ÄLMHULT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46305</v>
      </c>
      <c r="F113" t="inlineStr">
        <is>
          <t>KRONOBERGS LÄN</t>
        </is>
      </c>
      <c r="G113" t="inlineStr">
        <is>
          <t>ÄLMHULT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46305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45497</v>
      </c>
      <c r="E115" s="1" t="n">
        <v>46305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45433</v>
      </c>
      <c r="E116" s="1" t="n">
        <v>46305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46305</v>
      </c>
      <c r="F117" t="inlineStr">
        <is>
          <t>KRONOBERGS LÄN</t>
        </is>
      </c>
      <c r="G117" t="inlineStr">
        <is>
          <t>ÄLMHULT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46305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46305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45653</v>
      </c>
      <c r="E120" s="1" t="n">
        <v>46305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46305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46305</v>
      </c>
      <c r="F122" t="inlineStr">
        <is>
          <t>KRONOBERGS LÄN</t>
        </is>
      </c>
      <c r="G122" t="inlineStr">
        <is>
          <t>ÄLMHULT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46305</v>
      </c>
      <c r="F123" t="inlineStr">
        <is>
          <t>KRONOBERGS LÄN</t>
        </is>
      </c>
      <c r="G123" t="inlineStr">
        <is>
          <t>ÄLMHULT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45303</v>
      </c>
      <c r="E124" s="1" t="n">
        <v>46305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46305</v>
      </c>
      <c r="F125" t="inlineStr">
        <is>
          <t>KRONOBERGS LÄN</t>
        </is>
      </c>
      <c r="G125" t="inlineStr">
        <is>
          <t>ÄLMHULT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46305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46305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46305</v>
      </c>
      <c r="F128" t="inlineStr">
        <is>
          <t>KRONOBERGS LÄN</t>
        </is>
      </c>
      <c r="G128" t="inlineStr">
        <is>
          <t>ÄLMHULT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45010</v>
      </c>
      <c r="E129" s="1" t="n">
        <v>46305</v>
      </c>
      <c r="F129" t="inlineStr">
        <is>
          <t>KRONOBERGS LÄN</t>
        </is>
      </c>
      <c r="G129" t="inlineStr">
        <is>
          <t>ÄLMHULT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46305</v>
      </c>
      <c r="F130" t="inlineStr">
        <is>
          <t>KRONOBERGS LÄN</t>
        </is>
      </c>
      <c r="G130" t="inlineStr">
        <is>
          <t>ÄLMHULT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46305</v>
      </c>
      <c r="F131" t="inlineStr">
        <is>
          <t>KRONOBERGS LÄN</t>
        </is>
      </c>
      <c r="G131" t="inlineStr">
        <is>
          <t>ÄLMHULT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44508</v>
      </c>
      <c r="E132" s="1" t="n">
        <v>46305</v>
      </c>
      <c r="F132" t="inlineStr">
        <is>
          <t>KRONOBERGS LÄN</t>
        </is>
      </c>
      <c r="G132" t="inlineStr">
        <is>
          <t>ÄLMHULT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46305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46305</v>
      </c>
      <c r="F134" t="inlineStr">
        <is>
          <t>KRONOBERGS LÄN</t>
        </is>
      </c>
      <c r="G134" t="inlineStr">
        <is>
          <t>ÄLMHULT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46305</v>
      </c>
      <c r="F135" t="inlineStr">
        <is>
          <t>KRONOBERGS LÄN</t>
        </is>
      </c>
      <c r="G135" t="inlineStr">
        <is>
          <t>ÄLMHULT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44853</v>
      </c>
      <c r="E136" s="1" t="n">
        <v>46305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46305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46305</v>
      </c>
      <c r="F138" t="inlineStr">
        <is>
          <t>KRONOBERGS LÄN</t>
        </is>
      </c>
      <c r="G138" t="inlineStr">
        <is>
          <t>ÄLMHULT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46305</v>
      </c>
      <c r="F139" t="inlineStr">
        <is>
          <t>KRONOBERGS LÄN</t>
        </is>
      </c>
      <c r="G139" t="inlineStr">
        <is>
          <t>ÄLMHULT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46305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46305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46305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46305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46305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46305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46305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46305</v>
      </c>
      <c r="F147" t="inlineStr">
        <is>
          <t>KRONOBERGS LÄN</t>
        </is>
      </c>
      <c r="G147" t="inlineStr">
        <is>
          <t>ÄLMHULT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46305</v>
      </c>
      <c r="F148" t="inlineStr">
        <is>
          <t>KRONOBERGS LÄN</t>
        </is>
      </c>
      <c r="G148" t="inlineStr">
        <is>
          <t>ÄLMHULT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46305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45228</v>
      </c>
      <c r="E150" s="1" t="n">
        <v>46305</v>
      </c>
      <c r="F150" t="inlineStr">
        <is>
          <t>KRONOBERGS LÄN</t>
        </is>
      </c>
      <c r="G150" t="inlineStr">
        <is>
          <t>ÄLMHULT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46305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46305</v>
      </c>
      <c r="F152" t="inlineStr">
        <is>
          <t>KRONOBERGS LÄN</t>
        </is>
      </c>
      <c r="G152" t="inlineStr">
        <is>
          <t>ÄLMHULT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46305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46305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46305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46305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46305</v>
      </c>
      <c r="F157" t="inlineStr">
        <is>
          <t>KRONOBERGS LÄN</t>
        </is>
      </c>
      <c r="G157" t="inlineStr">
        <is>
          <t>ÄLMHULT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45309</v>
      </c>
      <c r="E158" s="1" t="n">
        <v>46305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46305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46305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46305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46305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46305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45286</v>
      </c>
      <c r="E164" s="1" t="n">
        <v>46305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46305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44962</v>
      </c>
      <c r="E166" s="1" t="n">
        <v>46305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46305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46305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46305</v>
      </c>
      <c r="F169" t="inlineStr">
        <is>
          <t>KRONOBERGS LÄN</t>
        </is>
      </c>
      <c r="G169" t="inlineStr">
        <is>
          <t>ÄLMHULT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46305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46305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45140</v>
      </c>
      <c r="E172" s="1" t="n">
        <v>46305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46305</v>
      </c>
      <c r="F173" t="inlineStr">
        <is>
          <t>KRONOBERGS LÄN</t>
        </is>
      </c>
      <c r="G173" t="inlineStr">
        <is>
          <t>ÄLMHULT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46305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46305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46305</v>
      </c>
      <c r="F176" t="inlineStr">
        <is>
          <t>KRONOBERGS LÄN</t>
        </is>
      </c>
      <c r="G176" t="inlineStr">
        <is>
          <t>ÄLMHULT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46305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46305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46305</v>
      </c>
      <c r="F179" t="inlineStr">
        <is>
          <t>KRONOBERGS LÄN</t>
        </is>
      </c>
      <c r="G179" t="inlineStr">
        <is>
          <t>ÄLMHULT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45653</v>
      </c>
      <c r="E180" s="1" t="n">
        <v>46305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46305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46305</v>
      </c>
      <c r="F182" t="inlineStr">
        <is>
          <t>KRONOBERGS LÄN</t>
        </is>
      </c>
      <c r="G182" t="inlineStr">
        <is>
          <t>ÄLMHULT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46305</v>
      </c>
      <c r="F183" t="inlineStr">
        <is>
          <t>KRONOBERGS LÄN</t>
        </is>
      </c>
      <c r="G183" t="inlineStr">
        <is>
          <t>ÄLMHULT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46305</v>
      </c>
      <c r="F184" t="inlineStr">
        <is>
          <t>KRONOBERGS LÄN</t>
        </is>
      </c>
      <c r="G184" t="inlineStr">
        <is>
          <t>ÄLMHULT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46305</v>
      </c>
      <c r="F185" t="inlineStr">
        <is>
          <t>KRONOBERGS LÄN</t>
        </is>
      </c>
      <c r="G185" t="inlineStr">
        <is>
          <t>ÄLMHULT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46305</v>
      </c>
      <c r="F186" t="inlineStr">
        <is>
          <t>KRONOBERGS LÄN</t>
        </is>
      </c>
      <c r="G186" t="inlineStr">
        <is>
          <t>ÄLMHULT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13606-2023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45006</v>
      </c>
      <c r="E187" s="1" t="n">
        <v>46305</v>
      </c>
      <c r="F187" t="inlineStr">
        <is>
          <t>KRONOBERGS LÄN</t>
        </is>
      </c>
      <c r="G187" t="inlineStr">
        <is>
          <t>ÄLMHULT</t>
        </is>
      </c>
      <c r="H187" t="inlineStr">
        <is>
          <t>Kommuner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46305</v>
      </c>
      <c r="F188" t="inlineStr">
        <is>
          <t>KRONOBERGS LÄN</t>
        </is>
      </c>
      <c r="G188" t="inlineStr">
        <is>
          <t>ÄLMHULT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46305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46305</v>
      </c>
      <c r="F190" t="inlineStr">
        <is>
          <t>KRONOBERGS LÄN</t>
        </is>
      </c>
      <c r="G190" t="inlineStr">
        <is>
          <t>ÄLMHULT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46305</v>
      </c>
      <c r="F191" t="inlineStr">
        <is>
          <t>KRONOBERGS LÄN</t>
        </is>
      </c>
      <c r="G191" t="inlineStr">
        <is>
          <t>ÄLMHULT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46305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72469-2021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44545</v>
      </c>
      <c r="E193" s="1" t="n">
        <v>46305</v>
      </c>
      <c r="F193" t="inlineStr">
        <is>
          <t>KRONOBERGS LÄN</t>
        </is>
      </c>
      <c r="G193" t="inlineStr">
        <is>
          <t>ÄLMHULT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46305</v>
      </c>
      <c r="F194" t="inlineStr">
        <is>
          <t>KRONOBERGS LÄN</t>
        </is>
      </c>
      <c r="G194" t="inlineStr">
        <is>
          <t>ÄLMHULT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46305</v>
      </c>
      <c r="F195" t="inlineStr">
        <is>
          <t>KRONOBERGS LÄN</t>
        </is>
      </c>
      <c r="G195" t="inlineStr">
        <is>
          <t>ÄLMHULT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46305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46305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46305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44943</v>
      </c>
      <c r="E199" s="1" t="n">
        <v>46305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46305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44921</v>
      </c>
      <c r="E201" s="1" t="n">
        <v>46305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46305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46305</v>
      </c>
      <c r="F203" t="inlineStr">
        <is>
          <t>KRONOBERGS LÄN</t>
        </is>
      </c>
      <c r="G203" t="inlineStr">
        <is>
          <t>ÄLMHULT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44817</v>
      </c>
      <c r="E204" s="1" t="n">
        <v>46305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46305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46305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45759</v>
      </c>
      <c r="E207" s="1" t="n">
        <v>46305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46305</v>
      </c>
      <c r="F208" t="inlineStr">
        <is>
          <t>KRONOBERGS LÄN</t>
        </is>
      </c>
      <c r="G208" t="inlineStr">
        <is>
          <t>ÄLMHULT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46305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46305</v>
      </c>
      <c r="F210" t="inlineStr">
        <is>
          <t>KRONOBERGS LÄN</t>
        </is>
      </c>
      <c r="G210" t="inlineStr">
        <is>
          <t>ÄLMHULT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46305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46305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46305</v>
      </c>
      <c r="F213" t="inlineStr">
        <is>
          <t>KRONOBERGS LÄN</t>
        </is>
      </c>
      <c r="G213" t="inlineStr">
        <is>
          <t>ÄLMHULT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46305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46305</v>
      </c>
      <c r="F215" t="inlineStr">
        <is>
          <t>KRONOBERGS LÄN</t>
        </is>
      </c>
      <c r="G215" t="inlineStr">
        <is>
          <t>ÄLMHULT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46305</v>
      </c>
      <c r="F216" t="inlineStr">
        <is>
          <t>KRONOBERGS LÄN</t>
        </is>
      </c>
      <c r="G216" t="inlineStr">
        <is>
          <t>ÄLMHULT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46305</v>
      </c>
      <c r="F217" t="inlineStr">
        <is>
          <t>KRONOBERGS LÄN</t>
        </is>
      </c>
      <c r="G217" t="inlineStr">
        <is>
          <t>ÄLMHULT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67257-2021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46305</v>
      </c>
      <c r="F218" t="inlineStr">
        <is>
          <t>KRONOBERGS LÄN</t>
        </is>
      </c>
      <c r="G218" t="inlineStr">
        <is>
          <t>ÄLMHULT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46305</v>
      </c>
      <c r="F219" t="inlineStr">
        <is>
          <t>KRONOBERGS LÄN</t>
        </is>
      </c>
      <c r="G219" t="inlineStr">
        <is>
          <t>ÄLMHULT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46305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69444-2021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46305</v>
      </c>
      <c r="F221" t="inlineStr">
        <is>
          <t>KRONOBERGS LÄN</t>
        </is>
      </c>
      <c r="G221" t="inlineStr">
        <is>
          <t>ÄLMHULT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46305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46305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46305</v>
      </c>
      <c r="F224" t="inlineStr">
        <is>
          <t>KRONOBERGS LÄN</t>
        </is>
      </c>
      <c r="G224" t="inlineStr">
        <is>
          <t>ÄLMHULT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46305</v>
      </c>
      <c r="F225" t="inlineStr">
        <is>
          <t>KRONOBERGS LÄN</t>
        </is>
      </c>
      <c r="G225" t="inlineStr">
        <is>
          <t>ÄLMHULT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45538</v>
      </c>
      <c r="E226" s="1" t="n">
        <v>46305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46305</v>
      </c>
      <c r="F227" t="inlineStr">
        <is>
          <t>KRONOBERGS LÄN</t>
        </is>
      </c>
      <c r="G227" t="inlineStr">
        <is>
          <t>ÄLMHULT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44928</v>
      </c>
      <c r="E228" s="1" t="n">
        <v>46305</v>
      </c>
      <c r="F228" t="inlineStr">
        <is>
          <t>KRONOBERGS LÄN</t>
        </is>
      </c>
      <c r="G228" t="inlineStr">
        <is>
          <t>ÄLMHULT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46305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46305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46305</v>
      </c>
      <c r="F231" t="inlineStr">
        <is>
          <t>KRONOBERGS LÄN</t>
        </is>
      </c>
      <c r="G231" t="inlineStr">
        <is>
          <t>ÄLMHULT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46305</v>
      </c>
      <c r="F232" t="inlineStr">
        <is>
          <t>KRONOBERGS LÄN</t>
        </is>
      </c>
      <c r="G232" t="inlineStr">
        <is>
          <t>ÄLMHULT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  <c r="Z232">
        <f>HYPERLINK("https://klasma.github.io/Logging_0765/knärot/A 27756-2023 karta knärot.png", "A 27756-2023")</f>
        <v/>
      </c>
      <c r="AA232">
        <f>HYPERLINK("https://klasma.github.io/Logging_0765/klagomål/A 27756-2023 FSC-klagomål.docx", "A 27756-2023")</f>
        <v/>
      </c>
      <c r="AB232">
        <f>HYPERLINK("https://klasma.github.io/Logging_0765/klagomålsmail/A 27756-2023 FSC-klagomål mail.docx", "A 27756-2023")</f>
        <v/>
      </c>
      <c r="AC232">
        <f>HYPERLINK("https://klasma.github.io/Logging_0765/tillsyn/A 27756-2023 tillsynsbegäran.docx", "A 27756-2023")</f>
        <v/>
      </c>
      <c r="AD232">
        <f>HYPERLINK("https://klasma.github.io/Logging_0765/tillsynsmail/A 27756-2023 tillsynsbegäran mail.docx", "A 27756-2023")</f>
        <v/>
      </c>
    </row>
    <row r="233" ht="15" customHeight="1">
      <c r="A233" t="inlineStr">
        <is>
          <t>A 3573-2025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46305</v>
      </c>
      <c r="F233" t="inlineStr">
        <is>
          <t>KRONOBERGS LÄN</t>
        </is>
      </c>
      <c r="G233" t="inlineStr">
        <is>
          <t>ÄLMHULT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46305</v>
      </c>
      <c r="F234" t="inlineStr">
        <is>
          <t>KRONOBERGS LÄN</t>
        </is>
      </c>
      <c r="G234" t="inlineStr">
        <is>
          <t>ÄLMHULT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45175</v>
      </c>
      <c r="E235" s="1" t="n">
        <v>46305</v>
      </c>
      <c r="F235" t="inlineStr">
        <is>
          <t>KRONOBERGS LÄN</t>
        </is>
      </c>
      <c r="G235" t="inlineStr">
        <is>
          <t>ÄLMHULT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44503</v>
      </c>
      <c r="E236" s="1" t="n">
        <v>46305</v>
      </c>
      <c r="F236" t="inlineStr">
        <is>
          <t>KRONOBERGS LÄN</t>
        </is>
      </c>
      <c r="G236" t="inlineStr">
        <is>
          <t>ÄLMHULT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46305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48800-2022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44859</v>
      </c>
      <c r="E238" s="1" t="n">
        <v>46305</v>
      </c>
      <c r="F238" t="inlineStr">
        <is>
          <t>KRONOBERGS LÄN</t>
        </is>
      </c>
      <c r="G238" t="inlineStr">
        <is>
          <t>ÄLMHULT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46305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45781</v>
      </c>
      <c r="E240" s="1" t="n">
        <v>46305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46305</v>
      </c>
      <c r="F241" t="inlineStr">
        <is>
          <t>KRONOBERGS LÄN</t>
        </is>
      </c>
      <c r="G241" t="inlineStr">
        <is>
          <t>ÄLMHULT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46305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45624</v>
      </c>
      <c r="E243" s="1" t="n">
        <v>46305</v>
      </c>
      <c r="F243" t="inlineStr">
        <is>
          <t>KRONOBERGS LÄN</t>
        </is>
      </c>
      <c r="G243" t="inlineStr">
        <is>
          <t>ÄLMHULT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46305</v>
      </c>
      <c r="F244" t="inlineStr">
        <is>
          <t>KRONOBERGS LÄN</t>
        </is>
      </c>
      <c r="G244" t="inlineStr">
        <is>
          <t>ÄLMHULT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46305</v>
      </c>
      <c r="F245" t="inlineStr">
        <is>
          <t>KRONOBERGS LÄN</t>
        </is>
      </c>
      <c r="G245" t="inlineStr">
        <is>
          <t>ÄLMHULT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46305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46305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46305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46305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46305</v>
      </c>
      <c r="F250" t="inlineStr">
        <is>
          <t>KRONOBERGS LÄN</t>
        </is>
      </c>
      <c r="G250" t="inlineStr">
        <is>
          <t>ÄLMHULT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46305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46305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46305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46305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45527</v>
      </c>
      <c r="E255" s="1" t="n">
        <v>46305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46305</v>
      </c>
      <c r="F256" t="inlineStr">
        <is>
          <t>KRONOBERGS LÄN</t>
        </is>
      </c>
      <c r="G256" t="inlineStr">
        <is>
          <t>ÄLMHULT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46305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46305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46305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46305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46305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46305</v>
      </c>
      <c r="F262" t="inlineStr">
        <is>
          <t>KRONOBERGS LÄN</t>
        </is>
      </c>
      <c r="G262" t="inlineStr">
        <is>
          <t>ÄLMHULT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46305</v>
      </c>
      <c r="F263" t="inlineStr">
        <is>
          <t>KRONOBERGS LÄN</t>
        </is>
      </c>
      <c r="G263" t="inlineStr">
        <is>
          <t>ÄLMHULT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46305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46305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46305</v>
      </c>
      <c r="F266" t="inlineStr">
        <is>
          <t>KRONOBERGS LÄN</t>
        </is>
      </c>
      <c r="G266" t="inlineStr">
        <is>
          <t>ÄLMHULT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45543</v>
      </c>
      <c r="E267" s="1" t="n">
        <v>46305</v>
      </c>
      <c r="F267" t="inlineStr">
        <is>
          <t>KRONOBERGS LÄN</t>
        </is>
      </c>
      <c r="G267" t="inlineStr">
        <is>
          <t>ÄLMHULT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45513</v>
      </c>
      <c r="E268" s="1" t="n">
        <v>46305</v>
      </c>
      <c r="F268" t="inlineStr">
        <is>
          <t>KRONOBERGS LÄN</t>
        </is>
      </c>
      <c r="G268" t="inlineStr">
        <is>
          <t>ÄLMHULT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46305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46305</v>
      </c>
      <c r="F270" t="inlineStr">
        <is>
          <t>KRONOBERGS LÄN</t>
        </is>
      </c>
      <c r="G270" t="inlineStr">
        <is>
          <t>ÄLMHULT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45462</v>
      </c>
      <c r="E271" s="1" t="n">
        <v>46305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46305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45564</v>
      </c>
      <c r="E273" s="1" t="n">
        <v>46305</v>
      </c>
      <c r="F273" t="inlineStr">
        <is>
          <t>KRONOBERGS LÄN</t>
        </is>
      </c>
      <c r="G273" t="inlineStr">
        <is>
          <t>ÄLMHULT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46305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46305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46305</v>
      </c>
      <c r="F276" t="inlineStr">
        <is>
          <t>KRONOBERGS LÄN</t>
        </is>
      </c>
      <c r="G276" t="inlineStr">
        <is>
          <t>ÄLMHULT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46305</v>
      </c>
      <c r="F277" t="inlineStr">
        <is>
          <t>KRONOBERGS LÄN</t>
        </is>
      </c>
      <c r="G277" t="inlineStr">
        <is>
          <t>ÄLMHULT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46305</v>
      </c>
      <c r="F278" t="inlineStr">
        <is>
          <t>KRONOBERGS LÄN</t>
        </is>
      </c>
      <c r="G278" t="inlineStr">
        <is>
          <t>ÄLMHULT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46305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46305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46305</v>
      </c>
      <c r="F281" t="inlineStr">
        <is>
          <t>KRONOBERGS LÄN</t>
        </is>
      </c>
      <c r="G281" t="inlineStr">
        <is>
          <t>ÄLMHULT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46305</v>
      </c>
      <c r="F282" t="inlineStr">
        <is>
          <t>KRONOBERGS LÄN</t>
        </is>
      </c>
      <c r="G282" t="inlineStr">
        <is>
          <t>ÄLMHULT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46305</v>
      </c>
      <c r="F283" t="inlineStr">
        <is>
          <t>KRONOBERGS LÄN</t>
        </is>
      </c>
      <c r="G283" t="inlineStr">
        <is>
          <t>ÄLMHULT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46305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46305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46305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45702</v>
      </c>
      <c r="E287" s="1" t="n">
        <v>46305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45663</v>
      </c>
      <c r="E288" s="1" t="n">
        <v>46305</v>
      </c>
      <c r="F288" t="inlineStr">
        <is>
          <t>KRONOBERGS LÄN</t>
        </is>
      </c>
      <c r="G288" t="inlineStr">
        <is>
          <t>ÄLMHULT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46305</v>
      </c>
      <c r="F289" t="inlineStr">
        <is>
          <t>KRONOBERGS LÄN</t>
        </is>
      </c>
      <c r="G289" t="inlineStr">
        <is>
          <t>ÄLMHULT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46305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64618-2021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46305</v>
      </c>
      <c r="F291" t="inlineStr">
        <is>
          <t>KRONOBERGS LÄN</t>
        </is>
      </c>
      <c r="G291" t="inlineStr">
        <is>
          <t>ÄLMHULT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46305</v>
      </c>
      <c r="F292" t="inlineStr">
        <is>
          <t>KRONOBERGS LÄN</t>
        </is>
      </c>
      <c r="G292" t="inlineStr">
        <is>
          <t>ÄLMHULT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22415-2024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45446</v>
      </c>
      <c r="E293" s="1" t="n">
        <v>46305</v>
      </c>
      <c r="F293" t="inlineStr">
        <is>
          <t>KRONOBERGS LÄN</t>
        </is>
      </c>
      <c r="G293" t="inlineStr">
        <is>
          <t>ÄLMHULT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46305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46305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46305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46305</v>
      </c>
      <c r="F297" t="inlineStr">
        <is>
          <t>KRONOBERGS LÄN</t>
        </is>
      </c>
      <c r="G297" t="inlineStr">
        <is>
          <t>ÄLMHULT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44587</v>
      </c>
      <c r="E298" s="1" t="n">
        <v>46305</v>
      </c>
      <c r="F298" t="inlineStr">
        <is>
          <t>KRONOBERGS LÄN</t>
        </is>
      </c>
      <c r="G298" t="inlineStr">
        <is>
          <t>ÄLMHULT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46305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46305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46305</v>
      </c>
      <c r="F301" t="inlineStr">
        <is>
          <t>KRONOBERGS LÄN</t>
        </is>
      </c>
      <c r="G301" t="inlineStr">
        <is>
          <t>ÄLMHULT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46305</v>
      </c>
      <c r="F302" t="inlineStr">
        <is>
          <t>KRONOBERGS LÄN</t>
        </is>
      </c>
      <c r="G302" t="inlineStr">
        <is>
          <t>ÄLMHULT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46305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46305</v>
      </c>
      <c r="F304" t="inlineStr">
        <is>
          <t>KRONOBERGS LÄN</t>
        </is>
      </c>
      <c r="G304" t="inlineStr">
        <is>
          <t>ÄLMHULT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45594</v>
      </c>
      <c r="E305" s="1" t="n">
        <v>46305</v>
      </c>
      <c r="F305" t="inlineStr">
        <is>
          <t>KRONOBERGS LÄN</t>
        </is>
      </c>
      <c r="G305" t="inlineStr">
        <is>
          <t>ÄLMHULT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46305</v>
      </c>
      <c r="F306" t="inlineStr">
        <is>
          <t>KRONOBERGS LÄN</t>
        </is>
      </c>
      <c r="G306" t="inlineStr">
        <is>
          <t>ÄLMHULT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46305</v>
      </c>
      <c r="F307" t="inlineStr">
        <is>
          <t>KRONOBERGS LÄN</t>
        </is>
      </c>
      <c r="G307" t="inlineStr">
        <is>
          <t>ÄLMHULT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46305</v>
      </c>
      <c r="F308" t="inlineStr">
        <is>
          <t>KRONOBERGS LÄN</t>
        </is>
      </c>
      <c r="G308" t="inlineStr">
        <is>
          <t>ÄLMHULT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45462</v>
      </c>
      <c r="E309" s="1" t="n">
        <v>46305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46305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45653</v>
      </c>
      <c r="E311" s="1" t="n">
        <v>46305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45548</v>
      </c>
      <c r="E312" s="1" t="n">
        <v>46305</v>
      </c>
      <c r="F312" t="inlineStr">
        <is>
          <t>KRONOBERGS LÄN</t>
        </is>
      </c>
      <c r="G312" t="inlineStr">
        <is>
          <t>ÄLMHULT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46305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46305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46305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44634</v>
      </c>
      <c r="E316" s="1" t="n">
        <v>46305</v>
      </c>
      <c r="F316" t="inlineStr">
        <is>
          <t>KRONOBERGS LÄN</t>
        </is>
      </c>
      <c r="G316" t="inlineStr">
        <is>
          <t>ÄLMHULT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49292-2022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44861</v>
      </c>
      <c r="E317" s="1" t="n">
        <v>46305</v>
      </c>
      <c r="F317" t="inlineStr">
        <is>
          <t>KRONOBERGS LÄN</t>
        </is>
      </c>
      <c r="G317" t="inlineStr">
        <is>
          <t>ÄLMHULT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46305</v>
      </c>
      <c r="F318" t="inlineStr">
        <is>
          <t>KRONOBERGS LÄN</t>
        </is>
      </c>
      <c r="G318" t="inlineStr">
        <is>
          <t>ÄLMHULT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46305</v>
      </c>
      <c r="F319" t="inlineStr">
        <is>
          <t>KRONOBERGS LÄN</t>
        </is>
      </c>
      <c r="G319" t="inlineStr">
        <is>
          <t>ÄLMHULT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20120-2022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44698</v>
      </c>
      <c r="E320" s="1" t="n">
        <v>46305</v>
      </c>
      <c r="F320" t="inlineStr">
        <is>
          <t>KRONOBERGS LÄN</t>
        </is>
      </c>
      <c r="G320" t="inlineStr">
        <is>
          <t>ÄLMHULT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46305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45578</v>
      </c>
      <c r="E322" s="1" t="n">
        <v>46305</v>
      </c>
      <c r="F322" t="inlineStr">
        <is>
          <t>KRONOBERGS LÄN</t>
        </is>
      </c>
      <c r="G322" t="inlineStr">
        <is>
          <t>ÄLMHULT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45308</v>
      </c>
      <c r="E323" s="1" t="n">
        <v>46305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45947</v>
      </c>
      <c r="E324" s="1" t="n">
        <v>46305</v>
      </c>
      <c r="F324" t="inlineStr">
        <is>
          <t>KRONOBERGS LÄN</t>
        </is>
      </c>
      <c r="G324" t="inlineStr">
        <is>
          <t>ÄLMHULT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46305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46305</v>
      </c>
      <c r="F326" t="inlineStr">
        <is>
          <t>KRONOBERGS LÄN</t>
        </is>
      </c>
      <c r="G326" t="inlineStr">
        <is>
          <t>ÄLMHULT</t>
        </is>
      </c>
      <c r="H326" t="inlineStr">
        <is>
          <t>Kyrkan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46305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46305</v>
      </c>
      <c r="F328" t="inlineStr">
        <is>
          <t>KRONOBERGS LÄN</t>
        </is>
      </c>
      <c r="G328" t="inlineStr">
        <is>
          <t>ÄLMHULT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46305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45335</v>
      </c>
      <c r="E330" s="1" t="n">
        <v>46305</v>
      </c>
      <c r="F330" t="inlineStr">
        <is>
          <t>KRONOBERGS LÄN</t>
        </is>
      </c>
      <c r="G330" t="inlineStr">
        <is>
          <t>ÄLMHULT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45441</v>
      </c>
      <c r="E331" s="1" t="n">
        <v>46305</v>
      </c>
      <c r="F331" t="inlineStr">
        <is>
          <t>KRONOBERGS LÄN</t>
        </is>
      </c>
      <c r="G331" t="inlineStr">
        <is>
          <t>ÄLMHULT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46305</v>
      </c>
      <c r="F332" t="inlineStr">
        <is>
          <t>KRONOBERGS LÄN</t>
        </is>
      </c>
      <c r="G332" t="inlineStr">
        <is>
          <t>ÄLMHULT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45460</v>
      </c>
      <c r="E333" s="1" t="n">
        <v>46305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46305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46305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46305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46305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45202</v>
      </c>
      <c r="E338" s="1" t="n">
        <v>46305</v>
      </c>
      <c r="F338" t="inlineStr">
        <is>
          <t>KRONOBERGS LÄN</t>
        </is>
      </c>
      <c r="G338" t="inlineStr">
        <is>
          <t>ÄLMHULT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46305</v>
      </c>
      <c r="F339" t="inlineStr">
        <is>
          <t>KRONOBERGS LÄN</t>
        </is>
      </c>
      <c r="G339" t="inlineStr">
        <is>
          <t>ÄLMHULT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46305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46305</v>
      </c>
      <c r="F341" t="inlineStr">
        <is>
          <t>KRONOBERGS LÄN</t>
        </is>
      </c>
      <c r="G341" t="inlineStr">
        <is>
          <t>ÄLMHULT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46305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45214</v>
      </c>
      <c r="E343" s="1" t="n">
        <v>46305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46305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46305</v>
      </c>
      <c r="F345" t="inlineStr">
        <is>
          <t>KRONOBERGS LÄN</t>
        </is>
      </c>
      <c r="G345" t="inlineStr">
        <is>
          <t>ÄLMHULT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41577-2023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45175</v>
      </c>
      <c r="E346" s="1" t="n">
        <v>46305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46305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12718-2022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44641</v>
      </c>
      <c r="E348" s="1" t="n">
        <v>46305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46305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46305</v>
      </c>
      <c r="F350" t="inlineStr">
        <is>
          <t>KRONOBERGS LÄN</t>
        </is>
      </c>
      <c r="G350" t="inlineStr">
        <is>
          <t>ÄLMHULT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45839</v>
      </c>
      <c r="E351" s="1" t="n">
        <v>46305</v>
      </c>
      <c r="F351" t="inlineStr">
        <is>
          <t>KRONOBERGS LÄN</t>
        </is>
      </c>
      <c r="G351" t="inlineStr">
        <is>
          <t>ÄLMHULT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46305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46305</v>
      </c>
      <c r="F353" t="inlineStr">
        <is>
          <t>KRONOBERGS LÄN</t>
        </is>
      </c>
      <c r="G353" t="inlineStr">
        <is>
          <t>ÄLMHULT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46305</v>
      </c>
      <c r="F354" t="inlineStr">
        <is>
          <t>KRONOBERGS LÄN</t>
        </is>
      </c>
      <c r="G354" t="inlineStr">
        <is>
          <t>ÄLMHULT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46305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46305</v>
      </c>
      <c r="F356" t="inlineStr">
        <is>
          <t>KRONOBERGS LÄN</t>
        </is>
      </c>
      <c r="G356" t="inlineStr">
        <is>
          <t>ÄLMHULT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46305</v>
      </c>
      <c r="F357" t="inlineStr">
        <is>
          <t>KRONOBERGS LÄN</t>
        </is>
      </c>
      <c r="G357" t="inlineStr">
        <is>
          <t>ÄLMHULT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46305</v>
      </c>
      <c r="F358" t="inlineStr">
        <is>
          <t>KRONOBERGS LÄN</t>
        </is>
      </c>
      <c r="G358" t="inlineStr">
        <is>
          <t>ÄLMHULT</t>
        </is>
      </c>
      <c r="I358" t="n">
        <v>14.1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46305</v>
      </c>
      <c r="F359" t="inlineStr">
        <is>
          <t>KRONOBERGS LÄN</t>
        </is>
      </c>
      <c r="G359" t="inlineStr">
        <is>
          <t>ÄLMHULT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54363-2023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45233</v>
      </c>
      <c r="E360" s="1" t="n">
        <v>46305</v>
      </c>
      <c r="F360" t="inlineStr">
        <is>
          <t>KRONOBERGS LÄN</t>
        </is>
      </c>
      <c r="G360" t="inlineStr">
        <is>
          <t>ÄLMHULT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54364-2023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45233</v>
      </c>
      <c r="E361" s="1" t="n">
        <v>46305</v>
      </c>
      <c r="F361" t="inlineStr">
        <is>
          <t>KRONOBERGS LÄN</t>
        </is>
      </c>
      <c r="G361" t="inlineStr">
        <is>
          <t>ÄLMHULT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45631</v>
      </c>
      <c r="E362" s="1" t="n">
        <v>46305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46305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19722-2023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45051</v>
      </c>
      <c r="E364" s="1" t="n">
        <v>46305</v>
      </c>
      <c r="F364" t="inlineStr">
        <is>
          <t>KRONOBERGS LÄN</t>
        </is>
      </c>
      <c r="G364" t="inlineStr">
        <is>
          <t>ÄLMHULT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46305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46305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33311-2025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46305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45529</v>
      </c>
      <c r="E368" s="1" t="n">
        <v>46305</v>
      </c>
      <c r="F368" t="inlineStr">
        <is>
          <t>KRONOBERGS LÄN</t>
        </is>
      </c>
      <c r="G368" t="inlineStr">
        <is>
          <t>ÄLMHULT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45969</v>
      </c>
      <c r="E369" s="1" t="n">
        <v>46305</v>
      </c>
      <c r="F369" t="inlineStr">
        <is>
          <t>KRONOBERGS LÄN</t>
        </is>
      </c>
      <c r="G369" t="inlineStr">
        <is>
          <t>ÄLMHULT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45969</v>
      </c>
      <c r="E370" s="1" t="n">
        <v>46305</v>
      </c>
      <c r="F370" t="inlineStr">
        <is>
          <t>KRONOBERGS LÄN</t>
        </is>
      </c>
      <c r="G370" t="inlineStr">
        <is>
          <t>ÄLMHULT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45846</v>
      </c>
      <c r="E371" s="1" t="n">
        <v>46305</v>
      </c>
      <c r="F371" t="inlineStr">
        <is>
          <t>KRONOBERGS LÄN</t>
        </is>
      </c>
      <c r="G371" t="inlineStr">
        <is>
          <t>ÄLMHULT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46305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46305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46305</v>
      </c>
      <c r="F374" t="inlineStr">
        <is>
          <t>KRONOBERGS LÄN</t>
        </is>
      </c>
      <c r="G374" t="inlineStr">
        <is>
          <t>ÄLMHULT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68212-2021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46305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45612</v>
      </c>
      <c r="E376" s="1" t="n">
        <v>46305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45770</v>
      </c>
      <c r="E377" s="1" t="n">
        <v>46305</v>
      </c>
      <c r="F377" t="inlineStr">
        <is>
          <t>KRONOBERGS LÄN</t>
        </is>
      </c>
      <c r="G377" t="inlineStr">
        <is>
          <t>ÄLMHULT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46305</v>
      </c>
      <c r="F378" t="inlineStr">
        <is>
          <t>KRONOBERGS LÄN</t>
        </is>
      </c>
      <c r="G378" t="inlineStr">
        <is>
          <t>ÄLMHULT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45076</v>
      </c>
      <c r="E379" s="1" t="n">
        <v>46305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46305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46305</v>
      </c>
      <c r="F381" t="inlineStr">
        <is>
          <t>KRONOBERGS LÄN</t>
        </is>
      </c>
      <c r="G381" t="inlineStr">
        <is>
          <t>ÄLMHULT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45854</v>
      </c>
      <c r="E382" s="1" t="n">
        <v>46305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46305</v>
      </c>
      <c r="F383" t="inlineStr">
        <is>
          <t>KRONOBERGS LÄN</t>
        </is>
      </c>
      <c r="G383" t="inlineStr">
        <is>
          <t>ÄLMHULT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46305</v>
      </c>
      <c r="F384" t="inlineStr">
        <is>
          <t>KRONOBERGS LÄN</t>
        </is>
      </c>
      <c r="G384" t="inlineStr">
        <is>
          <t>ÄLMHULT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45581</v>
      </c>
      <c r="E385" s="1" t="n">
        <v>46305</v>
      </c>
      <c r="F385" t="inlineStr">
        <is>
          <t>KRONOBERGS LÄN</t>
        </is>
      </c>
      <c r="G385" t="inlineStr">
        <is>
          <t>ÄLMHULT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46305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46305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44979</v>
      </c>
      <c r="E388" s="1" t="n">
        <v>46305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46305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45679</v>
      </c>
      <c r="E390" s="1" t="n">
        <v>46305</v>
      </c>
      <c r="F390" t="inlineStr">
        <is>
          <t>KRONOBERGS LÄN</t>
        </is>
      </c>
      <c r="G390" t="inlineStr">
        <is>
          <t>ÄLMHULT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46305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46305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44826</v>
      </c>
      <c r="E393" s="1" t="n">
        <v>46305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46305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46305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46305</v>
      </c>
      <c r="F396" t="inlineStr">
        <is>
          <t>KRONOBERGS LÄN</t>
        </is>
      </c>
      <c r="G396" t="inlineStr">
        <is>
          <t>ÄLMHULT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46305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46305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46305</v>
      </c>
      <c r="F399" t="inlineStr">
        <is>
          <t>KRONOBERGS LÄN</t>
        </is>
      </c>
      <c r="G399" t="inlineStr">
        <is>
          <t>ÄLMHULT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44568</v>
      </c>
      <c r="E400" s="1" t="n">
        <v>46305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46305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45250</v>
      </c>
      <c r="E402" s="1" t="n">
        <v>46305</v>
      </c>
      <c r="F402" t="inlineStr">
        <is>
          <t>KRONOBERGS LÄN</t>
        </is>
      </c>
      <c r="G402" t="inlineStr">
        <is>
          <t>ÄLMHULT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46305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46305</v>
      </c>
      <c r="F404" t="inlineStr">
        <is>
          <t>KRONOBERGS LÄN</t>
        </is>
      </c>
      <c r="G404" t="inlineStr">
        <is>
          <t>ÄLMHULT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18251-2024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45421</v>
      </c>
      <c r="E405" s="1" t="n">
        <v>46305</v>
      </c>
      <c r="F405" t="inlineStr">
        <is>
          <t>KRONOBERGS LÄN</t>
        </is>
      </c>
      <c r="G405" t="inlineStr">
        <is>
          <t>ÄLMHULT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46305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46305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46305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44784</v>
      </c>
      <c r="E409" s="1" t="n">
        <v>46305</v>
      </c>
      <c r="F409" t="inlineStr">
        <is>
          <t>KRONOBERGS LÄN</t>
        </is>
      </c>
      <c r="G409" t="inlineStr">
        <is>
          <t>ÄLMHULT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45348</v>
      </c>
      <c r="E410" s="1" t="n">
        <v>46305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46305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46305</v>
      </c>
      <c r="F412" t="inlineStr">
        <is>
          <t>KRONOBERGS LÄN</t>
        </is>
      </c>
      <c r="G412" t="inlineStr">
        <is>
          <t>ÄLMHULT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45084</v>
      </c>
      <c r="E413" s="1" t="n">
        <v>46305</v>
      </c>
      <c r="F413" t="inlineStr">
        <is>
          <t>KRONOBERGS LÄN</t>
        </is>
      </c>
      <c r="G413" t="inlineStr">
        <is>
          <t>ÄLMHULT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60690-2021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44496</v>
      </c>
      <c r="E414" s="1" t="n">
        <v>46305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45735</v>
      </c>
      <c r="E415" s="1" t="n">
        <v>46305</v>
      </c>
      <c r="F415" t="inlineStr">
        <is>
          <t>KRONOBERGS LÄN</t>
        </is>
      </c>
      <c r="G415" t="inlineStr">
        <is>
          <t>ÄLMHULT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46305</v>
      </c>
      <c r="F416" t="inlineStr">
        <is>
          <t>KRONOBERGS LÄN</t>
        </is>
      </c>
      <c r="G416" t="inlineStr">
        <is>
          <t>ÄLMHULT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45051</v>
      </c>
      <c r="E417" s="1" t="n">
        <v>46305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46305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45273</v>
      </c>
      <c r="E419" s="1" t="n">
        <v>46305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45268</v>
      </c>
      <c r="E420" s="1" t="n">
        <v>46305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46305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46305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46305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46305</v>
      </c>
      <c r="F424" t="inlineStr">
        <is>
          <t>KRONOBERGS LÄN</t>
        </is>
      </c>
      <c r="G424" t="inlineStr">
        <is>
          <t>ÄLMHULT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46305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46305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46305</v>
      </c>
      <c r="F427" t="inlineStr">
        <is>
          <t>KRONOBERGS LÄN</t>
        </is>
      </c>
      <c r="G427" t="inlineStr">
        <is>
          <t>ÄLMHULT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46305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46305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46305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46305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46305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46305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46305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45440</v>
      </c>
      <c r="E435" s="1" t="n">
        <v>46305</v>
      </c>
      <c r="F435" t="inlineStr">
        <is>
          <t>KRONOBERGS LÄN</t>
        </is>
      </c>
      <c r="G435" t="inlineStr">
        <is>
          <t>ÄLMHULT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46305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45078</v>
      </c>
      <c r="E437" s="1" t="n">
        <v>46305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46305</v>
      </c>
      <c r="F438" t="inlineStr">
        <is>
          <t>KRONOBERGS LÄN</t>
        </is>
      </c>
      <c r="G438" t="inlineStr">
        <is>
          <t>ÄLMHULT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46305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46305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59803-2025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45992</v>
      </c>
      <c r="E441" s="1" t="n">
        <v>46305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59780-2025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45992</v>
      </c>
      <c r="E442" s="1" t="n">
        <v>46305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59771-2025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45992</v>
      </c>
      <c r="E443" s="1" t="n">
        <v>46305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46305</v>
      </c>
      <c r="F444" t="inlineStr">
        <is>
          <t>KRONOBERGS LÄN</t>
        </is>
      </c>
      <c r="G444" t="inlineStr">
        <is>
          <t>ÄLMHULT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44921</v>
      </c>
      <c r="E445" s="1" t="n">
        <v>46305</v>
      </c>
      <c r="F445" t="inlineStr">
        <is>
          <t>KRONOBERGS LÄN</t>
        </is>
      </c>
      <c r="G445" t="inlineStr">
        <is>
          <t>ÄLMHULT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45734</v>
      </c>
      <c r="E446" s="1" t="n">
        <v>46305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46305</v>
      </c>
      <c r="F447" t="inlineStr">
        <is>
          <t>KRONOBERGS LÄN</t>
        </is>
      </c>
      <c r="G447" t="inlineStr">
        <is>
          <t>ÄLMHULT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45608</v>
      </c>
      <c r="E448" s="1" t="n">
        <v>46305</v>
      </c>
      <c r="F448" t="inlineStr">
        <is>
          <t>KRONOBERGS LÄN</t>
        </is>
      </c>
      <c r="G448" t="inlineStr">
        <is>
          <t>ÄLMHULT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45546</v>
      </c>
      <c r="E449" s="1" t="n">
        <v>46305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46305</v>
      </c>
      <c r="F450" t="inlineStr">
        <is>
          <t>KRONOBERGS LÄN</t>
        </is>
      </c>
      <c r="G450" t="inlineStr">
        <is>
          <t>ÄLMHULT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46305</v>
      </c>
      <c r="F451" t="inlineStr">
        <is>
          <t>KRONOBERGS LÄN</t>
        </is>
      </c>
      <c r="G451" t="inlineStr">
        <is>
          <t>ÄLMHULT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46305</v>
      </c>
      <c r="F452" t="inlineStr">
        <is>
          <t>KRONOBERGS LÄN</t>
        </is>
      </c>
      <c r="G452" t="inlineStr">
        <is>
          <t>ÄLMHULT</t>
        </is>
      </c>
      <c r="H452" t="inlineStr">
        <is>
          <t>Kommuner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46305</v>
      </c>
      <c r="F453" t="inlineStr">
        <is>
          <t>KRONOBERGS LÄN</t>
        </is>
      </c>
      <c r="G453" t="inlineStr">
        <is>
          <t>ÄLMHULT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44858</v>
      </c>
      <c r="E454" s="1" t="n">
        <v>46305</v>
      </c>
      <c r="F454" t="inlineStr">
        <is>
          <t>KRONOBERGS LÄN</t>
        </is>
      </c>
      <c r="G454" t="inlineStr">
        <is>
          <t>ÄLMHULT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46305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46305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45414</v>
      </c>
      <c r="E457" s="1" t="n">
        <v>46305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46305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8329-2022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44610</v>
      </c>
      <c r="E459" s="1" t="n">
        <v>46305</v>
      </c>
      <c r="F459" t="inlineStr">
        <is>
          <t>KRONOBERGS LÄN</t>
        </is>
      </c>
      <c r="G459" t="inlineStr">
        <is>
          <t>ÄLMHULT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46005</v>
      </c>
      <c r="E460" s="1" t="n">
        <v>46305</v>
      </c>
      <c r="F460" t="inlineStr">
        <is>
          <t>KRONOBERGS LÄN</t>
        </is>
      </c>
      <c r="G460" t="inlineStr">
        <is>
          <t>ÄLMHULT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46305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46305</v>
      </c>
      <c r="F462" t="inlineStr">
        <is>
          <t>KRONOBERGS LÄN</t>
        </is>
      </c>
      <c r="G462" t="inlineStr">
        <is>
          <t>ÄLMHULT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46305</v>
      </c>
      <c r="F463" t="inlineStr">
        <is>
          <t>KRONOBERGS LÄN</t>
        </is>
      </c>
      <c r="G463" t="inlineStr">
        <is>
          <t>ÄLMHULT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46305</v>
      </c>
      <c r="F464" t="inlineStr">
        <is>
          <t>KRONOBERGS LÄN</t>
        </is>
      </c>
      <c r="G464" t="inlineStr">
        <is>
          <t>ÄLMHULT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45085</v>
      </c>
      <c r="E465" s="1" t="n">
        <v>46305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46305</v>
      </c>
      <c r="F466" t="inlineStr">
        <is>
          <t>KRONOBERGS LÄN</t>
        </is>
      </c>
      <c r="G466" t="inlineStr">
        <is>
          <t>ÄLMHULT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46305</v>
      </c>
      <c r="F467" t="inlineStr">
        <is>
          <t>KRONOBERGS LÄN</t>
        </is>
      </c>
      <c r="G467" t="inlineStr">
        <is>
          <t>ÄLMHULT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45722</v>
      </c>
      <c r="E468" s="1" t="n">
        <v>46305</v>
      </c>
      <c r="F468" t="inlineStr">
        <is>
          <t>KRONOBERGS LÄN</t>
        </is>
      </c>
      <c r="G468" t="inlineStr">
        <is>
          <t>ÄLMHULT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44860</v>
      </c>
      <c r="E469" s="1" t="n">
        <v>46305</v>
      </c>
      <c r="F469" t="inlineStr">
        <is>
          <t>KRONOBERGS LÄN</t>
        </is>
      </c>
      <c r="G469" t="inlineStr">
        <is>
          <t>ÄLMHULT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46305</v>
      </c>
      <c r="F470" t="inlineStr">
        <is>
          <t>KRONOBERGS LÄN</t>
        </is>
      </c>
      <c r="G470" t="inlineStr">
        <is>
          <t>ÄLMHULT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46305</v>
      </c>
      <c r="F471" t="inlineStr">
        <is>
          <t>KRONOBERGS LÄN</t>
        </is>
      </c>
      <c r="G471" t="inlineStr">
        <is>
          <t>ÄLMHULT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52332-2024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46305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45217</v>
      </c>
      <c r="E473" s="1" t="n">
        <v>46305</v>
      </c>
      <c r="F473" t="inlineStr">
        <is>
          <t>KRONOBERGS LÄN</t>
        </is>
      </c>
      <c r="G473" t="inlineStr">
        <is>
          <t>ÄLMHULT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46305</v>
      </c>
      <c r="F474" t="inlineStr">
        <is>
          <t>KRONOBERGS LÄN</t>
        </is>
      </c>
      <c r="G474" t="inlineStr">
        <is>
          <t>ÄLMHULT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46305</v>
      </c>
      <c r="F475" t="inlineStr">
        <is>
          <t>KRONOBERGS LÄN</t>
        </is>
      </c>
      <c r="G475" t="inlineStr">
        <is>
          <t>ÄLMHULT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46305</v>
      </c>
      <c r="F476" t="inlineStr">
        <is>
          <t>KRONOBERGS LÄN</t>
        </is>
      </c>
      <c r="G476" t="inlineStr">
        <is>
          <t>ÄLMHULT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35478-2024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46305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45812</v>
      </c>
      <c r="E478" s="1" t="n">
        <v>46305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68189-2021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44526</v>
      </c>
      <c r="E479" s="1" t="n">
        <v>46305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46305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46305</v>
      </c>
      <c r="F481" t="inlineStr">
        <is>
          <t>KRONOBERGS LÄN</t>
        </is>
      </c>
      <c r="G481" t="inlineStr">
        <is>
          <t>ÄLMHULT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63742-2025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46016</v>
      </c>
      <c r="E482" s="1" t="n">
        <v>46305</v>
      </c>
      <c r="F482" t="inlineStr">
        <is>
          <t>KRONOBERGS LÄN</t>
        </is>
      </c>
      <c r="G482" t="inlineStr">
        <is>
          <t>ÄLMHULT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46305</v>
      </c>
      <c r="F483" t="inlineStr">
        <is>
          <t>KRONOBERGS LÄN</t>
        </is>
      </c>
      <c r="G483" t="inlineStr">
        <is>
          <t>ÄLMHULT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46305</v>
      </c>
      <c r="F484" t="inlineStr">
        <is>
          <t>KRONOBERGS LÄN</t>
        </is>
      </c>
      <c r="G484" t="inlineStr">
        <is>
          <t>ÄLMHULT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45883</v>
      </c>
      <c r="E485" s="1" t="n">
        <v>46305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46305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45817</v>
      </c>
      <c r="E487" s="1" t="n">
        <v>46305</v>
      </c>
      <c r="F487" t="inlineStr">
        <is>
          <t>KRONOBERGS LÄN</t>
        </is>
      </c>
      <c r="G487" t="inlineStr">
        <is>
          <t>ÄLMHULT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45733</v>
      </c>
      <c r="E488" s="1" t="n">
        <v>46305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44687</v>
      </c>
      <c r="E489" s="1" t="n">
        <v>46305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45081</v>
      </c>
      <c r="E490" s="1" t="n">
        <v>46305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46305</v>
      </c>
      <c r="F491" t="inlineStr">
        <is>
          <t>KRONOBERGS LÄN</t>
        </is>
      </c>
      <c r="G491" t="inlineStr">
        <is>
          <t>ÄLMHULT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46305</v>
      </c>
      <c r="F492" t="inlineStr">
        <is>
          <t>KRONOBERGS LÄN</t>
        </is>
      </c>
      <c r="G492" t="inlineStr">
        <is>
          <t>ÄLMHULT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45068</v>
      </c>
      <c r="E493" s="1" t="n">
        <v>46305</v>
      </c>
      <c r="F493" t="inlineStr">
        <is>
          <t>KRONOBERGS LÄN</t>
        </is>
      </c>
      <c r="G493" t="inlineStr">
        <is>
          <t>ÄLMHULT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46305</v>
      </c>
      <c r="F494" t="inlineStr">
        <is>
          <t>KRONOBERGS LÄN</t>
        </is>
      </c>
      <c r="G494" t="inlineStr">
        <is>
          <t>ÄLMHULT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46305</v>
      </c>
      <c r="F495" t="inlineStr">
        <is>
          <t>KRONOBERGS LÄN</t>
        </is>
      </c>
      <c r="G495" t="inlineStr">
        <is>
          <t>ÄLMHULT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45010</v>
      </c>
      <c r="E496" s="1" t="n">
        <v>46305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46305</v>
      </c>
      <c r="F497" t="inlineStr">
        <is>
          <t>KRONOBERGS LÄN</t>
        </is>
      </c>
      <c r="G497" t="inlineStr">
        <is>
          <t>ÄLMHULT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46305</v>
      </c>
      <c r="F498" t="inlineStr">
        <is>
          <t>KRONOBERGS LÄN</t>
        </is>
      </c>
      <c r="G498" t="inlineStr">
        <is>
          <t>ÄLMHULT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46305</v>
      </c>
      <c r="F499" t="inlineStr">
        <is>
          <t>KRONOBERGS LÄN</t>
        </is>
      </c>
      <c r="G499" t="inlineStr">
        <is>
          <t>ÄLMHULT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46305</v>
      </c>
      <c r="F500" t="inlineStr">
        <is>
          <t>KRONOBERGS LÄN</t>
        </is>
      </c>
      <c r="G500" t="inlineStr">
        <is>
          <t>ÄLMHULT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46305</v>
      </c>
      <c r="F501" t="inlineStr">
        <is>
          <t>KRONOBERGS LÄN</t>
        </is>
      </c>
      <c r="G501" t="inlineStr">
        <is>
          <t>ÄLMHULT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45042</v>
      </c>
      <c r="E502" s="1" t="n">
        <v>46305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46305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46305</v>
      </c>
      <c r="F504" t="inlineStr">
        <is>
          <t>KRONOBERGS LÄN</t>
        </is>
      </c>
      <c r="G504" t="inlineStr">
        <is>
          <t>ÄLMHULT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45630</v>
      </c>
      <c r="E505" s="1" t="n">
        <v>46305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46305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33944-2023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45134</v>
      </c>
      <c r="E507" s="1" t="n">
        <v>46305</v>
      </c>
      <c r="F507" t="inlineStr">
        <is>
          <t>KRONOBERGS LÄN</t>
        </is>
      </c>
      <c r="G507" t="inlineStr">
        <is>
          <t>ÄLMHULT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44743</v>
      </c>
      <c r="E508" s="1" t="n">
        <v>46305</v>
      </c>
      <c r="F508" t="inlineStr">
        <is>
          <t>KRONOBERGS LÄN</t>
        </is>
      </c>
      <c r="G508" t="inlineStr">
        <is>
          <t>ÄLMHULT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46305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46305</v>
      </c>
      <c r="F510" t="inlineStr">
        <is>
          <t>KRONOBERGS LÄN</t>
        </is>
      </c>
      <c r="G510" t="inlineStr">
        <is>
          <t>ÄLMHULT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46305</v>
      </c>
      <c r="F511" t="inlineStr">
        <is>
          <t>KRONOBERGS LÄN</t>
        </is>
      </c>
      <c r="G511" t="inlineStr">
        <is>
          <t>ÄLMHULT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46305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45373</v>
      </c>
      <c r="E513" s="1" t="n">
        <v>46305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56955-2024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45628</v>
      </c>
      <c r="E514" s="1" t="n">
        <v>46305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45311</v>
      </c>
      <c r="E515" s="1" t="n">
        <v>46305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46305</v>
      </c>
      <c r="F516" t="inlineStr">
        <is>
          <t>KRONOBERGS LÄN</t>
        </is>
      </c>
      <c r="G516" t="inlineStr">
        <is>
          <t>ÄLMHULT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46305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46305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7594-2026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46061</v>
      </c>
      <c r="E519" s="1" t="n">
        <v>46305</v>
      </c>
      <c r="F519" t="inlineStr">
        <is>
          <t>KRONOBERGS LÄN</t>
        </is>
      </c>
      <c r="G519" t="inlineStr">
        <is>
          <t>ÄLMHULT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8102-2026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46063</v>
      </c>
      <c r="E520" s="1" t="n">
        <v>46305</v>
      </c>
      <c r="F520" t="inlineStr">
        <is>
          <t>KRONOBERGS LÄN</t>
        </is>
      </c>
      <c r="G520" t="inlineStr">
        <is>
          <t>ÄLMHULT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46305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46147</v>
      </c>
      <c r="E522" s="1" t="n">
        <v>46305</v>
      </c>
      <c r="F522" t="inlineStr">
        <is>
          <t>KRONOBERGS LÄN</t>
        </is>
      </c>
      <c r="G522" t="inlineStr">
        <is>
          <t>ÄLMHULT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46305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46305</v>
      </c>
      <c r="F524" t="inlineStr">
        <is>
          <t>KRONOBERGS LÄN</t>
        </is>
      </c>
      <c r="G524" t="inlineStr">
        <is>
          <t>ÄLMHULT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30322-2025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45827</v>
      </c>
      <c r="E525" s="1" t="n">
        <v>46305</v>
      </c>
      <c r="F525" t="inlineStr">
        <is>
          <t>KRONOBERGS LÄN</t>
        </is>
      </c>
      <c r="G525" t="inlineStr">
        <is>
          <t>ÄLMHULT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46305</v>
      </c>
      <c r="F526" t="inlineStr">
        <is>
          <t>KRONOBERGS LÄN</t>
        </is>
      </c>
      <c r="G526" t="inlineStr">
        <is>
          <t>ÄLMHULT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46305</v>
      </c>
      <c r="F527" t="inlineStr">
        <is>
          <t>KRONOBERGS LÄN</t>
        </is>
      </c>
      <c r="G527" t="inlineStr">
        <is>
          <t>ÄLMHULT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46305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46305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46305</v>
      </c>
      <c r="F530" t="inlineStr">
        <is>
          <t>KRONOBERGS LÄN</t>
        </is>
      </c>
      <c r="G530" t="inlineStr">
        <is>
          <t>ÄLMHULT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45946</v>
      </c>
      <c r="E531" s="1" t="n">
        <v>46305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43467-2025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45911</v>
      </c>
      <c r="E532" s="1" t="n">
        <v>46305</v>
      </c>
      <c r="F532" t="inlineStr">
        <is>
          <t>KRONOBERGS LÄN</t>
        </is>
      </c>
      <c r="G532" t="inlineStr">
        <is>
          <t>ÄLMHULT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46305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46305</v>
      </c>
      <c r="F534" t="inlineStr">
        <is>
          <t>KRONOBERGS LÄN</t>
        </is>
      </c>
      <c r="G534" t="inlineStr">
        <is>
          <t>ÄLMHULT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45792</v>
      </c>
      <c r="E535" s="1" t="n">
        <v>46305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46305</v>
      </c>
      <c r="F536" t="inlineStr">
        <is>
          <t>KRONOBERGS LÄN</t>
        </is>
      </c>
      <c r="G536" t="inlineStr">
        <is>
          <t>ÄLMHULT</t>
        </is>
      </c>
      <c r="H536" t="inlineStr">
        <is>
          <t>Kyrkan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46305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46305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46305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46305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46305</v>
      </c>
      <c r="F541" t="inlineStr">
        <is>
          <t>KRONOBERGS LÄN</t>
        </is>
      </c>
      <c r="G541" t="inlineStr">
        <is>
          <t>ÄLMHULT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46305</v>
      </c>
      <c r="F542" t="inlineStr">
        <is>
          <t>KRONOBERGS LÄN</t>
        </is>
      </c>
      <c r="G542" t="inlineStr">
        <is>
          <t>ÄLMHULT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46305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46305</v>
      </c>
      <c r="F544" t="inlineStr">
        <is>
          <t>KRONOBERGS LÄN</t>
        </is>
      </c>
      <c r="G544" t="inlineStr">
        <is>
          <t>ÄLMHULT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46305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46305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46305</v>
      </c>
      <c r="F547" t="inlineStr">
        <is>
          <t>KRONOBERGS LÄN</t>
        </is>
      </c>
      <c r="G547" t="inlineStr">
        <is>
          <t>ÄLMHULT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46305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46305</v>
      </c>
      <c r="F549" t="inlineStr">
        <is>
          <t>KRONOBERGS LÄN</t>
        </is>
      </c>
      <c r="G549" t="inlineStr">
        <is>
          <t>ÄLMHULT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46305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46305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46305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46305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46305</v>
      </c>
      <c r="F554" t="inlineStr">
        <is>
          <t>KRONOBERGS LÄN</t>
        </is>
      </c>
      <c r="G554" t="inlineStr">
        <is>
          <t>ÄLMHULT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46305</v>
      </c>
      <c r="F555" t="inlineStr">
        <is>
          <t>KRONOBERGS LÄN</t>
        </is>
      </c>
      <c r="G555" t="inlineStr">
        <is>
          <t>ÄLMHULT</t>
        </is>
      </c>
      <c r="H555" t="inlineStr">
        <is>
          <t>Sveaskog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46305</v>
      </c>
      <c r="F556" t="inlineStr">
        <is>
          <t>KRONOBERGS LÄN</t>
        </is>
      </c>
      <c r="G556" t="inlineStr">
        <is>
          <t>ÄLMHULT</t>
        </is>
      </c>
      <c r="H556" t="inlineStr">
        <is>
          <t>Sveaskog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36376-2026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46268</v>
      </c>
      <c r="E557" s="1" t="n">
        <v>46305</v>
      </c>
      <c r="F557" t="inlineStr">
        <is>
          <t>KRONOBERGS LÄN</t>
        </is>
      </c>
      <c r="G557" t="inlineStr">
        <is>
          <t>ÄLMHULT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46305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46227</v>
      </c>
      <c r="E559" s="1" t="n">
        <v>46305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46226</v>
      </c>
      <c r="E560" s="1" t="n">
        <v>46305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46227</v>
      </c>
      <c r="E561" s="1" t="n">
        <v>46305</v>
      </c>
      <c r="F561" t="inlineStr">
        <is>
          <t>KRONOBERGS LÄN</t>
        </is>
      </c>
      <c r="G561" t="inlineStr">
        <is>
          <t>ÄLMHULT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46226</v>
      </c>
      <c r="E562" s="1" t="n">
        <v>46305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46226</v>
      </c>
      <c r="E563" s="1" t="n">
        <v>46305</v>
      </c>
      <c r="F563" t="inlineStr">
        <is>
          <t>KRONOBERGS LÄN</t>
        </is>
      </c>
      <c r="G563" t="inlineStr">
        <is>
          <t>ÄLMHULT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46280</v>
      </c>
      <c r="E564" s="1" t="n">
        <v>46305</v>
      </c>
      <c r="F564" t="inlineStr">
        <is>
          <t>KRONOBERGS LÄN</t>
        </is>
      </c>
      <c r="G564" t="inlineStr">
        <is>
          <t>ÄLMHULT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46305</v>
      </c>
      <c r="F565" t="inlineStr">
        <is>
          <t>KRONOBERGS LÄN</t>
        </is>
      </c>
      <c r="G565" t="inlineStr">
        <is>
          <t>ÄLMHULT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32126-2026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46234</v>
      </c>
      <c r="E566" s="1" t="n">
        <v>46305</v>
      </c>
      <c r="F566" t="inlineStr">
        <is>
          <t>KRONOBERGS LÄN</t>
        </is>
      </c>
      <c r="G566" t="inlineStr">
        <is>
          <t>ÄLMHULT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46240</v>
      </c>
      <c r="E567" s="1" t="n">
        <v>46305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46240</v>
      </c>
      <c r="E568" s="1" t="n">
        <v>46305</v>
      </c>
      <c r="F568" t="inlineStr">
        <is>
          <t>KRONOBERGS LÄN</t>
        </is>
      </c>
      <c r="G568" t="inlineStr">
        <is>
          <t>ÄLMHULT</t>
        </is>
      </c>
      <c r="H568" t="inlineStr">
        <is>
          <t>Kyrkan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46305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46305</v>
      </c>
      <c r="F570" t="inlineStr">
        <is>
          <t>KRONOBERGS LÄN</t>
        </is>
      </c>
      <c r="G570" t="inlineStr">
        <is>
          <t>ÄLMHULT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46305</v>
      </c>
      <c r="F571" t="inlineStr">
        <is>
          <t>KRONOBERGS LÄN</t>
        </is>
      </c>
      <c r="G571" t="inlineStr">
        <is>
          <t>ÄLMHULT</t>
        </is>
      </c>
      <c r="I571" t="n">
        <v>29.1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46287</v>
      </c>
      <c r="E572" s="1" t="n">
        <v>46305</v>
      </c>
      <c r="F572" t="inlineStr">
        <is>
          <t>KRONOBERGS LÄN</t>
        </is>
      </c>
      <c r="G572" t="inlineStr">
        <is>
          <t>ÄLMHULT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43522-2025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45911</v>
      </c>
      <c r="E573" s="1" t="n">
        <v>46305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46305</v>
      </c>
      <c r="F574" t="inlineStr">
        <is>
          <t>KRONOBERGS LÄN</t>
        </is>
      </c>
      <c r="G574" t="inlineStr">
        <is>
          <t>ÄLMHULT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46305</v>
      </c>
      <c r="F575" t="inlineStr">
        <is>
          <t>KRONOBERGS LÄN</t>
        </is>
      </c>
      <c r="G575" t="inlineStr">
        <is>
          <t>ÄLMHULT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46305</v>
      </c>
      <c r="F576" t="inlineStr">
        <is>
          <t>KRONOBERGS LÄN</t>
        </is>
      </c>
      <c r="G576" t="inlineStr">
        <is>
          <t>ÄLMHULT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46305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46305</v>
      </c>
      <c r="F578" t="inlineStr">
        <is>
          <t>KRONOBERGS LÄN</t>
        </is>
      </c>
      <c r="G578" t="inlineStr">
        <is>
          <t>ÄLMHULT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46305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46305</v>
      </c>
      <c r="F580" t="inlineStr">
        <is>
          <t>KRONOBERGS LÄN</t>
        </is>
      </c>
      <c r="G580" t="inlineStr">
        <is>
          <t>ÄLMHULT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46305</v>
      </c>
      <c r="F581" t="inlineStr">
        <is>
          <t>KRONOBERGS LÄN</t>
        </is>
      </c>
      <c r="G581" t="inlineStr">
        <is>
          <t>ÄLMHULT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46154</v>
      </c>
      <c r="E582" s="1" t="n">
        <v>46305</v>
      </c>
      <c r="F582" t="inlineStr">
        <is>
          <t>KRONOBERGS LÄN</t>
        </is>
      </c>
      <c r="G582" t="inlineStr">
        <is>
          <t>ÄLMHULT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46305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46287</v>
      </c>
      <c r="E584" s="1" t="n">
        <v>46305</v>
      </c>
      <c r="F584" t="inlineStr">
        <is>
          <t>KRONOBERGS LÄN</t>
        </is>
      </c>
      <c r="G584" t="inlineStr">
        <is>
          <t>ÄLMHULT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46305</v>
      </c>
      <c r="F585" t="inlineStr">
        <is>
          <t>KRONOBERGS LÄN</t>
        </is>
      </c>
      <c r="G585" t="inlineStr">
        <is>
          <t>ÄLMHULT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46305</v>
      </c>
      <c r="F586" t="inlineStr">
        <is>
          <t>KRONOBERGS LÄN</t>
        </is>
      </c>
      <c r="G586" t="inlineStr">
        <is>
          <t>ÄLMHULT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46305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46305</v>
      </c>
      <c r="F588" t="inlineStr">
        <is>
          <t>KRONOBERGS LÄN</t>
        </is>
      </c>
      <c r="G588" t="inlineStr">
        <is>
          <t>ÄLMHULT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46305</v>
      </c>
      <c r="F589" t="inlineStr">
        <is>
          <t>KRONOBERGS LÄN</t>
        </is>
      </c>
      <c r="G589" t="inlineStr">
        <is>
          <t>ÄLMHULT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46305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46305</v>
      </c>
      <c r="F591" t="inlineStr">
        <is>
          <t>KRONOBERGS LÄN</t>
        </is>
      </c>
      <c r="G591" t="inlineStr">
        <is>
          <t>ÄLMHULT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40317-2026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46305</v>
      </c>
      <c r="F592" t="inlineStr">
        <is>
          <t>KRONOBERGS LÄN</t>
        </is>
      </c>
      <c r="G592" t="inlineStr">
        <is>
          <t>ÄLMHULT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46305</v>
      </c>
      <c r="F593" t="inlineStr">
        <is>
          <t>KRONOBERGS LÄN</t>
        </is>
      </c>
      <c r="G593" t="inlineStr">
        <is>
          <t>ÄLMHULT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46305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46305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46305</v>
      </c>
      <c r="F596" t="inlineStr">
        <is>
          <t>KRONOBERGS LÄN</t>
        </is>
      </c>
      <c r="G596" t="inlineStr">
        <is>
          <t>ÄLMHULT</t>
        </is>
      </c>
      <c r="H596" t="inlineStr">
        <is>
          <t>Kyrkan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46305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46305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40479-2026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46295</v>
      </c>
      <c r="E599" s="1" t="n">
        <v>46305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46305</v>
      </c>
      <c r="F600" t="inlineStr">
        <is>
          <t>KRONOBERGS LÄN</t>
        </is>
      </c>
      <c r="G600" t="inlineStr">
        <is>
          <t>ÄLMHULT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46305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41056-2026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46300</v>
      </c>
      <c r="E602" s="1" t="n">
        <v>46305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46257</v>
      </c>
      <c r="E603" s="1" t="n">
        <v>46305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45612</v>
      </c>
      <c r="E604" s="1" t="n">
        <v>46305</v>
      </c>
      <c r="F604" t="inlineStr">
        <is>
          <t>KRONOBERGS LÄN</t>
        </is>
      </c>
      <c r="G604" t="inlineStr">
        <is>
          <t>ÄLMHULT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45612</v>
      </c>
      <c r="E605" s="1" t="n">
        <v>46305</v>
      </c>
      <c r="F605" t="inlineStr">
        <is>
          <t>KRONOBERGS LÄN</t>
        </is>
      </c>
      <c r="G605" t="inlineStr">
        <is>
          <t>ÄLMHULT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46305</v>
      </c>
      <c r="F606" t="inlineStr">
        <is>
          <t>KRONOBERGS LÄN</t>
        </is>
      </c>
      <c r="G606" t="inlineStr">
        <is>
          <t>ÄLMHULT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46305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46305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46305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46305</v>
      </c>
      <c r="F610" t="inlineStr">
        <is>
          <t>KRONOBERGS LÄN</t>
        </is>
      </c>
      <c r="G610" t="inlineStr">
        <is>
          <t>ÄLMHULT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46305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46303</v>
      </c>
      <c r="E612" s="1" t="n">
        <v>46305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46305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46262</v>
      </c>
      <c r="E614" s="1" t="n">
        <v>46305</v>
      </c>
      <c r="F614" t="inlineStr">
        <is>
          <t>KRONOBERGS LÄN</t>
        </is>
      </c>
      <c r="G614" t="inlineStr">
        <is>
          <t>ÄLMHULT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46305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46305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46305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46305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46305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46305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46305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46305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46305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46305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46305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46305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46305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46305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46305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46305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46305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46305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46305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2026-10-10T02:04:48Z</dcterms:created>
  <dcterms:modified xmlns:dcterms="http://purl.org/dc/terms/" xmlns:xsi="http://www.w3.org/2001/XMLSchema-instance" xsi:type="dcterms:W3CDTF">2026-10-10T02:04:49Z</dcterms:modified>
</cp:coreProperties>
</file>