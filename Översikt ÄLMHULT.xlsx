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14429-2023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45012</v>
      </c>
      <c r="E10" s="1" t="n">
        <v>46252</v>
      </c>
      <c r="F10" t="inlineStr">
        <is>
          <t>KRONOBERGS LÄN</t>
        </is>
      </c>
      <c r="G10" t="inlineStr">
        <is>
          <t>ÄLMHULT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Gulnål
Ärtsångare</t>
        </is>
      </c>
      <c r="W10">
        <f>HYPERLINK("https://klasma.github.io/Logging_0765/artfynd/A 14429-2023 artfynd.xlsx", "A 14429-2023")</f>
        <v/>
      </c>
      <c r="X10">
        <f>HYPERLINK("https://klasma.github.io/Logging_0765/kartor/A 14429-2023 karta.png", "A 14429-2023")</f>
        <v/>
      </c>
      <c r="Y10">
        <f>HYPERLINK("https://klasma.github.io/Logging_0765/kartor_geotiff/A 14429-2023 georefererad karta.tif", "A 14429-2023")</f>
        <v/>
      </c>
      <c r="AA10">
        <f>HYPERLINK("https://klasma.github.io/Logging_0765/klagomål/A 14429-2023 FSC-klagomål.docx", "A 14429-2023")</f>
        <v/>
      </c>
      <c r="AB10">
        <f>HYPERLINK("https://klasma.github.io/Logging_0765/klagomålsmail/A 14429-2023 FSC-klagomål mail.docx", "A 14429-2023")</f>
        <v/>
      </c>
      <c r="AC10">
        <f>HYPERLINK("https://klasma.github.io/Logging_0765/tillsyn/A 14429-2023 tillsynsbegäran.docx", "A 14429-2023")</f>
        <v/>
      </c>
      <c r="AD10">
        <f>HYPERLINK("https://klasma.github.io/Logging_0765/tillsynsmail/A 14429-2023 tillsynsbegäran mail.docx", "A 14429-2023")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46252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46252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46252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46252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46252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46252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46252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46252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46252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46252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46252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46252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46252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46252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46252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46252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46252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46252</v>
      </c>
      <c r="F31" t="inlineStr">
        <is>
          <t>KRONOBERGS LÄN</t>
        </is>
      </c>
      <c r="G31" t="inlineStr">
        <is>
          <t>ÄLMHULT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HYPERLINK("https://klasma.github.io/Logging_0765/artfynd/A 18943-2026 artfynd.xlsx", "A 18943-2026")</f>
        <v/>
      </c>
      <c r="X31">
        <f>HYPERLINK("https://klasma.github.io/Logging_0765/kartor/A 18943-2026 karta.png", "A 18943-2026")</f>
        <v/>
      </c>
      <c r="Y31">
        <f>HYPERLINK("https://klasma.github.io/Logging_0765/kartor_geotiff/A 18943-2026 georefererad karta.tif", "A 18943-2026")</f>
        <v/>
      </c>
      <c r="AA31">
        <f>HYPERLINK("https://klasma.github.io/Logging_0765/klagomål/A 18943-2026 FSC-klagomål.docx", "A 18943-2026")</f>
        <v/>
      </c>
      <c r="AB31">
        <f>HYPERLINK("https://klasma.github.io/Logging_0765/klagomålsmail/A 18943-2026 FSC-klagomål mail.docx", "A 18943-2026")</f>
        <v/>
      </c>
      <c r="AC31">
        <f>HYPERLINK("https://klasma.github.io/Logging_0765/tillsyn/A 18943-2026 tillsynsbegäran.docx", "A 18943-2026")</f>
        <v/>
      </c>
      <c r="AD31">
        <f>HYPERLINK("https://klasma.github.io/Logging_0765/tillsynsmail/A 18943-2026 tillsynsbegäran mail.docx", "A 18943-2026")</f>
        <v/>
      </c>
    </row>
    <row r="32" ht="15" customHeight="1">
      <c r="A32" t="inlineStr">
        <is>
          <t>A 19196-2025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46252</v>
      </c>
      <c r="F32" t="inlineStr">
        <is>
          <t>KRONOBERGS LÄN</t>
        </is>
      </c>
      <c r="G32" t="inlineStr">
        <is>
          <t>ÄLMHULT</t>
        </is>
      </c>
      <c r="I32" t="n">
        <v>26.2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HYPERLINK("https://klasma.github.io/Logging_0765/artfynd/A 19196-2025 artfynd.xlsx", "A 19196-2025")</f>
        <v/>
      </c>
      <c r="X32">
        <f>HYPERLINK("https://klasma.github.io/Logging_0765/kartor/A 19196-2025 karta.png", "A 19196-2025")</f>
        <v/>
      </c>
      <c r="Y32">
        <f>HYPERLINK("https://klasma.github.io/Logging_0765/kartor_geotiff/A 19196-2025 georefererad karta.tif", "A 19196-2025")</f>
        <v/>
      </c>
      <c r="AA32">
        <f>HYPERLINK("https://klasma.github.io/Logging_0765/klagomål/A 19196-2025 FSC-klagomål.docx", "A 19196-2025")</f>
        <v/>
      </c>
      <c r="AB32">
        <f>HYPERLINK("https://klasma.github.io/Logging_0765/klagomålsmail/A 19196-2025 FSC-klagomål mail.docx", "A 19196-2025")</f>
        <v/>
      </c>
      <c r="AC32">
        <f>HYPERLINK("https://klasma.github.io/Logging_0765/tillsyn/A 19196-2025 tillsynsbegäran.docx", "A 19196-2025")</f>
        <v/>
      </c>
      <c r="AD32">
        <f>HYPERLINK("https://klasma.github.io/Logging_0765/tillsynsmail/A 19196-2025 tillsynsbegäran mail.docx", "A 19196-2025")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46252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46252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46252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46252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46252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46252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46252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46252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46252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46252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46252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46252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46252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46252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46252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46252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46252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46252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46252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46252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46252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46252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46252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46252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46252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46252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46252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46252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46252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46252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46252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46252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46252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46252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46252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46252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46252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46252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46252</v>
      </c>
      <c r="F71" t="inlineStr">
        <is>
          <t>KRONOBERGS LÄN</t>
        </is>
      </c>
      <c r="G71" t="inlineStr">
        <is>
          <t>ÄLMHULT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47414-2021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46252</v>
      </c>
      <c r="F72" t="inlineStr">
        <is>
          <t>KRONOBERGS LÄN</t>
        </is>
      </c>
      <c r="G72" t="inlineStr">
        <is>
          <t>ÄLMHULT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46252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44453</v>
      </c>
      <c r="E74" s="1" t="n">
        <v>46252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46252</v>
      </c>
      <c r="F75" t="inlineStr">
        <is>
          <t>KRONOBERGS LÄN</t>
        </is>
      </c>
      <c r="G75" t="inlineStr">
        <is>
          <t>ÄLMHULT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46252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47861-2021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44448</v>
      </c>
      <c r="E77" s="1" t="n">
        <v>46252</v>
      </c>
      <c r="F77" t="inlineStr">
        <is>
          <t>KRONOBERGS LÄN</t>
        </is>
      </c>
      <c r="G77" t="inlineStr">
        <is>
          <t>ÄLMHULT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46252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46252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46252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46252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44587</v>
      </c>
      <c r="E82" s="1" t="n">
        <v>46252</v>
      </c>
      <c r="F82" t="inlineStr">
        <is>
          <t>KRONOBERGS LÄN</t>
        </is>
      </c>
      <c r="G82" t="inlineStr">
        <is>
          <t>ÄLMHULT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46252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44431</v>
      </c>
      <c r="E84" s="1" t="n">
        <v>46252</v>
      </c>
      <c r="F84" t="inlineStr">
        <is>
          <t>KRONOBERGS LÄN</t>
        </is>
      </c>
      <c r="G84" t="inlineStr">
        <is>
          <t>ÄLMHULT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46252</v>
      </c>
      <c r="F85" t="inlineStr">
        <is>
          <t>KRONOBERGS LÄN</t>
        </is>
      </c>
      <c r="G85" t="inlineStr">
        <is>
          <t>ÄLMHULT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44427</v>
      </c>
      <c r="E86" s="1" t="n">
        <v>46252</v>
      </c>
      <c r="F86" t="inlineStr">
        <is>
          <t>KRONOBERGS LÄN</t>
        </is>
      </c>
      <c r="G86" t="inlineStr">
        <is>
          <t>ÄLMHULT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46252</v>
      </c>
      <c r="F87" t="inlineStr">
        <is>
          <t>KRONOBERGS LÄN</t>
        </is>
      </c>
      <c r="G87" t="inlineStr">
        <is>
          <t>ÄLMHULT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46252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46252</v>
      </c>
      <c r="F89" t="inlineStr">
        <is>
          <t>KRONOBERGS LÄN</t>
        </is>
      </c>
      <c r="G89" t="inlineStr">
        <is>
          <t>ÄLMHULT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46252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46252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46252</v>
      </c>
      <c r="F92" t="inlineStr">
        <is>
          <t>KRONOBERGS LÄN</t>
        </is>
      </c>
      <c r="G92" t="inlineStr">
        <is>
          <t>ÄLMHULT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46252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46252</v>
      </c>
      <c r="F94" t="inlineStr">
        <is>
          <t>KRONOBERGS LÄN</t>
        </is>
      </c>
      <c r="G94" t="inlineStr">
        <is>
          <t>ÄLMHULT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46252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46252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46252</v>
      </c>
      <c r="F97" t="inlineStr">
        <is>
          <t>KRONOBERGS LÄN</t>
        </is>
      </c>
      <c r="G97" t="inlineStr">
        <is>
          <t>ÄLMHULT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46252</v>
      </c>
      <c r="F98" t="inlineStr">
        <is>
          <t>KRONOBERGS LÄN</t>
        </is>
      </c>
      <c r="G98" t="inlineStr">
        <is>
          <t>ÄLMHULT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50715-2021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46252</v>
      </c>
      <c r="F99" t="inlineStr">
        <is>
          <t>KRONOBERGS LÄN</t>
        </is>
      </c>
      <c r="G99" t="inlineStr">
        <is>
          <t>ÄLMHULT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46252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46252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46252</v>
      </c>
      <c r="F102" t="inlineStr">
        <is>
          <t>KRONOBERGS LÄN</t>
        </is>
      </c>
      <c r="G102" t="inlineStr">
        <is>
          <t>ÄLMHULT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46252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67941-2021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46252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46252</v>
      </c>
      <c r="F105" t="inlineStr">
        <is>
          <t>KRONOBERGS LÄN</t>
        </is>
      </c>
      <c r="G105" t="inlineStr">
        <is>
          <t>ÄLMHULT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46252</v>
      </c>
      <c r="F106" t="inlineStr">
        <is>
          <t>KRONOBERGS LÄN</t>
        </is>
      </c>
      <c r="G106" t="inlineStr">
        <is>
          <t>ÄLMHULT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46252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44643</v>
      </c>
      <c r="E108" s="1" t="n">
        <v>46252</v>
      </c>
      <c r="F108" t="inlineStr">
        <is>
          <t>KRONOBERGS LÄN</t>
        </is>
      </c>
      <c r="G108" t="inlineStr">
        <is>
          <t>ÄLMHULT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46252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46252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46252</v>
      </c>
      <c r="F111" t="inlineStr">
        <is>
          <t>KRONOBERGS LÄN</t>
        </is>
      </c>
      <c r="G111" t="inlineStr">
        <is>
          <t>ÄLMHULT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67257-2021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46252</v>
      </c>
      <c r="F112" t="inlineStr">
        <is>
          <t>KRONOBERGS LÄN</t>
        </is>
      </c>
      <c r="G112" t="inlineStr">
        <is>
          <t>ÄLMHULT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46252</v>
      </c>
      <c r="F113" t="inlineStr">
        <is>
          <t>KRONOBERGS LÄN</t>
        </is>
      </c>
      <c r="G113" t="inlineStr">
        <is>
          <t>ÄLMHULT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46252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45612</v>
      </c>
      <c r="E115" s="1" t="n">
        <v>46252</v>
      </c>
      <c r="F115" t="inlineStr">
        <is>
          <t>KRONOBERGS LÄN</t>
        </is>
      </c>
      <c r="G115" t="inlineStr">
        <is>
          <t>ÄLMHULT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46252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46252</v>
      </c>
      <c r="F117" t="inlineStr">
        <is>
          <t>KRONOBERGS LÄN</t>
        </is>
      </c>
      <c r="G117" t="inlineStr">
        <is>
          <t>ÄLMHULT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46252</v>
      </c>
      <c r="F118" t="inlineStr">
        <is>
          <t>KRONOBERGS LÄN</t>
        </is>
      </c>
      <c r="G118" t="inlineStr">
        <is>
          <t>ÄLMHULT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45695</v>
      </c>
      <c r="E119" s="1" t="n">
        <v>46252</v>
      </c>
      <c r="F119" t="inlineStr">
        <is>
          <t>KRONOBERGS LÄN</t>
        </is>
      </c>
      <c r="G119" t="inlineStr">
        <is>
          <t>ÄLMHULT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46252</v>
      </c>
      <c r="F120" t="inlineStr">
        <is>
          <t>KRONOBERGS LÄN</t>
        </is>
      </c>
      <c r="G120" t="inlineStr">
        <is>
          <t>ÄLMHULT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46252</v>
      </c>
      <c r="F121" t="inlineStr">
        <is>
          <t>KRONOBERGS LÄN</t>
        </is>
      </c>
      <c r="G121" t="inlineStr">
        <is>
          <t>ÄLMHULT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45441</v>
      </c>
      <c r="E122" s="1" t="n">
        <v>46252</v>
      </c>
      <c r="F122" t="inlineStr">
        <is>
          <t>KRONOBERGS LÄN</t>
        </is>
      </c>
      <c r="G122" t="inlineStr">
        <is>
          <t>ÄLMHULT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46252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44657</v>
      </c>
      <c r="E124" s="1" t="n">
        <v>46252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13606-2023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45006</v>
      </c>
      <c r="E125" s="1" t="n">
        <v>46252</v>
      </c>
      <c r="F125" t="inlineStr">
        <is>
          <t>KRONOBERGS LÄN</t>
        </is>
      </c>
      <c r="G125" t="inlineStr">
        <is>
          <t>ÄLMHULT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46252</v>
      </c>
      <c r="F126" t="inlineStr">
        <is>
          <t>KRONOBERGS LÄN</t>
        </is>
      </c>
      <c r="G126" t="inlineStr">
        <is>
          <t>ÄLMHULT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46252</v>
      </c>
      <c r="F127" t="inlineStr">
        <is>
          <t>KRONOBERGS LÄN</t>
        </is>
      </c>
      <c r="G127" t="inlineStr">
        <is>
          <t>ÄLMHULT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46252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46252</v>
      </c>
      <c r="F129" t="inlineStr">
        <is>
          <t>KRONOBERGS LÄN</t>
        </is>
      </c>
      <c r="G129" t="inlineStr">
        <is>
          <t>ÄLMHULT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44433</v>
      </c>
      <c r="E130" s="1" t="n">
        <v>46252</v>
      </c>
      <c r="F130" t="inlineStr">
        <is>
          <t>KRONOBERGS LÄN</t>
        </is>
      </c>
      <c r="G130" t="inlineStr">
        <is>
          <t>ÄLMHULT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46252</v>
      </c>
      <c r="F131" t="inlineStr">
        <is>
          <t>KRONOBERGS LÄN</t>
        </is>
      </c>
      <c r="G131" t="inlineStr">
        <is>
          <t>ÄLMHULT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46252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46252</v>
      </c>
      <c r="F133" t="inlineStr">
        <is>
          <t>KRONOBERGS LÄN</t>
        </is>
      </c>
      <c r="G133" t="inlineStr">
        <is>
          <t>ÄLMHULT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46252</v>
      </c>
      <c r="F134" t="inlineStr">
        <is>
          <t>KRONOBERGS LÄN</t>
        </is>
      </c>
      <c r="G134" t="inlineStr">
        <is>
          <t>ÄLMHULT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44998</v>
      </c>
      <c r="E135" s="1" t="n">
        <v>46252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9.300000000000001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44491</v>
      </c>
      <c r="E136" s="1" t="n">
        <v>46252</v>
      </c>
      <c r="F136" t="inlineStr">
        <is>
          <t>KRONOBERGS LÄN</t>
        </is>
      </c>
      <c r="G136" t="inlineStr">
        <is>
          <t>ÄLMHULT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46252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46252</v>
      </c>
      <c r="F138" t="inlineStr">
        <is>
          <t>KRONOBERGS LÄN</t>
        </is>
      </c>
      <c r="G138" t="inlineStr">
        <is>
          <t>ÄLMHULT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46252</v>
      </c>
      <c r="F139" t="inlineStr">
        <is>
          <t>KRONOBERGS LÄN</t>
        </is>
      </c>
      <c r="G139" t="inlineStr">
        <is>
          <t>ÄLMHULT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46252</v>
      </c>
      <c r="F140" t="inlineStr">
        <is>
          <t>KRONOBERGS LÄN</t>
        </is>
      </c>
      <c r="G140" t="inlineStr">
        <is>
          <t>ÄLMHULT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46252</v>
      </c>
      <c r="F141" t="inlineStr">
        <is>
          <t>KRONOBERGS LÄN</t>
        </is>
      </c>
      <c r="G141" t="inlineStr">
        <is>
          <t>ÄLMHULT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33944-2023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45134</v>
      </c>
      <c r="E142" s="1" t="n">
        <v>46252</v>
      </c>
      <c r="F142" t="inlineStr">
        <is>
          <t>KRONOBERGS LÄN</t>
        </is>
      </c>
      <c r="G142" t="inlineStr">
        <is>
          <t>ÄLMHULT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46252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46252</v>
      </c>
      <c r="F144" t="inlineStr">
        <is>
          <t>KRONOBERGS LÄN</t>
        </is>
      </c>
      <c r="G144" t="inlineStr">
        <is>
          <t>ÄLMHULT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46252</v>
      </c>
      <c r="F145" t="inlineStr">
        <is>
          <t>KRONOBERGS LÄN</t>
        </is>
      </c>
      <c r="G145" t="inlineStr">
        <is>
          <t>ÄLMHULT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44434</v>
      </c>
      <c r="E146" s="1" t="n">
        <v>46252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46252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46252</v>
      </c>
      <c r="F148" t="inlineStr">
        <is>
          <t>KRONOBERGS LÄN</t>
        </is>
      </c>
      <c r="G148" t="inlineStr">
        <is>
          <t>ÄLMHULT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33002-2022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44784</v>
      </c>
      <c r="E149" s="1" t="n">
        <v>46252</v>
      </c>
      <c r="F149" t="inlineStr">
        <is>
          <t>KRONOBERGS LÄN</t>
        </is>
      </c>
      <c r="G149" t="inlineStr">
        <is>
          <t>ÄLMHULT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46252</v>
      </c>
      <c r="F150" t="inlineStr">
        <is>
          <t>KRONOBERGS LÄN</t>
        </is>
      </c>
      <c r="G150" t="inlineStr">
        <is>
          <t>ÄLMHULT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46252</v>
      </c>
      <c r="F151" t="inlineStr">
        <is>
          <t>KRONOBERGS LÄN</t>
        </is>
      </c>
      <c r="G151" t="inlineStr">
        <is>
          <t>ÄLMHULT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46252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46252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46252</v>
      </c>
      <c r="F154" t="inlineStr">
        <is>
          <t>KRONOBERGS LÄN</t>
        </is>
      </c>
      <c r="G154" t="inlineStr">
        <is>
          <t>ÄLMHULT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45084</v>
      </c>
      <c r="E155" s="1" t="n">
        <v>46252</v>
      </c>
      <c r="F155" t="inlineStr">
        <is>
          <t>KRONOBERGS LÄN</t>
        </is>
      </c>
      <c r="G155" t="inlineStr">
        <is>
          <t>ÄLMHULT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45010</v>
      </c>
      <c r="E156" s="1" t="n">
        <v>46252</v>
      </c>
      <c r="F156" t="inlineStr">
        <is>
          <t>KRONOBERGS LÄN</t>
        </is>
      </c>
      <c r="G156" t="inlineStr">
        <is>
          <t>ÄLMHULT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46252</v>
      </c>
      <c r="F157" t="inlineStr">
        <is>
          <t>KRONOBERGS LÄN</t>
        </is>
      </c>
      <c r="G157" t="inlineStr">
        <is>
          <t>ÄLMHULT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45062</v>
      </c>
      <c r="E158" s="1" t="n">
        <v>46252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46252</v>
      </c>
      <c r="F159" t="inlineStr">
        <is>
          <t>KRONOBERGS LÄN</t>
        </is>
      </c>
      <c r="G159" t="inlineStr">
        <is>
          <t>ÄLMHULT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46252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46252</v>
      </c>
      <c r="F161" t="inlineStr">
        <is>
          <t>KRONOBERGS LÄN</t>
        </is>
      </c>
      <c r="G161" t="inlineStr">
        <is>
          <t>ÄLMHULT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46252</v>
      </c>
      <c r="F162" t="inlineStr">
        <is>
          <t>KRONOBERGS LÄN</t>
        </is>
      </c>
      <c r="G162" t="inlineStr">
        <is>
          <t>ÄLMHULT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45915</v>
      </c>
      <c r="E163" s="1" t="n">
        <v>46252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45529</v>
      </c>
      <c r="E164" s="1" t="n">
        <v>46252</v>
      </c>
      <c r="F164" t="inlineStr">
        <is>
          <t>KRONOBERGS LÄN</t>
        </is>
      </c>
      <c r="G164" t="inlineStr">
        <is>
          <t>ÄLMHULT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45348</v>
      </c>
      <c r="E165" s="1" t="n">
        <v>46252</v>
      </c>
      <c r="F165" t="inlineStr">
        <is>
          <t>KRONOBERGS LÄN</t>
        </is>
      </c>
      <c r="G165" t="inlineStr">
        <is>
          <t>ÄLMHULT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45457</v>
      </c>
      <c r="E166" s="1" t="n">
        <v>46252</v>
      </c>
      <c r="F166" t="inlineStr">
        <is>
          <t>KRONOBERGS LÄN</t>
        </is>
      </c>
      <c r="G166" t="inlineStr">
        <is>
          <t>ÄLMHULT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46252</v>
      </c>
      <c r="F167" t="inlineStr">
        <is>
          <t>KRONOBERGS LÄN</t>
        </is>
      </c>
      <c r="G167" t="inlineStr">
        <is>
          <t>ÄLMHULT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46252</v>
      </c>
      <c r="F168" t="inlineStr">
        <is>
          <t>KRONOBERGS LÄN</t>
        </is>
      </c>
      <c r="G168" t="inlineStr">
        <is>
          <t>ÄLMHULT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  <c r="Z168">
        <f>HYPERLINK("https://klasma.github.io/Logging_0765/knärot/A 27756-2023 karta knärot.png", "A 27756-2023")</f>
        <v/>
      </c>
      <c r="AA168">
        <f>HYPERLINK("https://klasma.github.io/Logging_0765/klagomål/A 27756-2023 FSC-klagomål.docx", "A 27756-2023")</f>
        <v/>
      </c>
      <c r="AB168">
        <f>HYPERLINK("https://klasma.github.io/Logging_0765/klagomålsmail/A 27756-2023 FSC-klagomål mail.docx", "A 27756-2023")</f>
        <v/>
      </c>
      <c r="AC168">
        <f>HYPERLINK("https://klasma.github.io/Logging_0765/tillsyn/A 27756-2023 tillsynsbegäran.docx", "A 27756-2023")</f>
        <v/>
      </c>
      <c r="AD168">
        <f>HYPERLINK("https://klasma.github.io/Logging_0765/tillsynsmail/A 27756-2023 tillsynsbegäran mail.docx", "A 27756-2023")</f>
        <v/>
      </c>
    </row>
    <row r="169" ht="15" customHeight="1">
      <c r="A169" t="inlineStr">
        <is>
          <t>A 12718-2022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44641</v>
      </c>
      <c r="E169" s="1" t="n">
        <v>46252</v>
      </c>
      <c r="F169" t="inlineStr">
        <is>
          <t>KRONOBERGS LÄN</t>
        </is>
      </c>
      <c r="G169" t="inlineStr">
        <is>
          <t>ÄLMHULT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46252</v>
      </c>
      <c r="F170" t="inlineStr">
        <is>
          <t>KRONOBERGS LÄN</t>
        </is>
      </c>
      <c r="G170" t="inlineStr">
        <is>
          <t>ÄLMHULT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46252</v>
      </c>
      <c r="F171" t="inlineStr">
        <is>
          <t>KRONOBERGS LÄN</t>
        </is>
      </c>
      <c r="G171" t="inlineStr">
        <is>
          <t>ÄLMHULT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46252</v>
      </c>
      <c r="F172" t="inlineStr">
        <is>
          <t>KRONOBERGS LÄN</t>
        </is>
      </c>
      <c r="G172" t="inlineStr">
        <is>
          <t>ÄLMHULT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46252</v>
      </c>
      <c r="F173" t="inlineStr">
        <is>
          <t>KRONOBERGS LÄN</t>
        </is>
      </c>
      <c r="G173" t="inlineStr">
        <is>
          <t>ÄLMHULT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46252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46252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45916</v>
      </c>
      <c r="E176" s="1" t="n">
        <v>46252</v>
      </c>
      <c r="F176" t="inlineStr">
        <is>
          <t>KRONOBERGS LÄN</t>
        </is>
      </c>
      <c r="G176" t="inlineStr">
        <is>
          <t>ÄLMHULT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46252</v>
      </c>
      <c r="F177" t="inlineStr">
        <is>
          <t>KRONOBERGS LÄN</t>
        </is>
      </c>
      <c r="G177" t="inlineStr">
        <is>
          <t>ÄLMHULT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60621-2021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44496</v>
      </c>
      <c r="E178" s="1" t="n">
        <v>46252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46252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46252</v>
      </c>
      <c r="F180" t="inlineStr">
        <is>
          <t>KRONOBERGS LÄN</t>
        </is>
      </c>
      <c r="G180" t="inlineStr">
        <is>
          <t>ÄLMHULT</t>
        </is>
      </c>
      <c r="I180" t="n">
        <v>14.1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46252</v>
      </c>
      <c r="F181" t="inlineStr">
        <is>
          <t>KRONOBERGS LÄN</t>
        </is>
      </c>
      <c r="G181" t="inlineStr">
        <is>
          <t>ÄLMHULT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46252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46252</v>
      </c>
      <c r="F183" t="inlineStr">
        <is>
          <t>KRONOBERGS LÄN</t>
        </is>
      </c>
      <c r="G183" t="inlineStr">
        <is>
          <t>ÄLMHULT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45529</v>
      </c>
      <c r="E184" s="1" t="n">
        <v>46252</v>
      </c>
      <c r="F184" t="inlineStr">
        <is>
          <t>KRONOBERGS LÄN</t>
        </is>
      </c>
      <c r="G184" t="inlineStr">
        <is>
          <t>ÄLMHULT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46252</v>
      </c>
      <c r="F185" t="inlineStr">
        <is>
          <t>KRONOBERGS LÄN</t>
        </is>
      </c>
      <c r="G185" t="inlineStr">
        <is>
          <t>ÄLMHULT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45010</v>
      </c>
      <c r="E186" s="1" t="n">
        <v>46252</v>
      </c>
      <c r="F186" t="inlineStr">
        <is>
          <t>KRONOBERGS LÄN</t>
        </is>
      </c>
      <c r="G186" t="inlineStr">
        <is>
          <t>ÄLMHULT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46252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46252</v>
      </c>
      <c r="F188" t="inlineStr">
        <is>
          <t>KRONOBERGS LÄN</t>
        </is>
      </c>
      <c r="G188" t="inlineStr">
        <is>
          <t>ÄLMHULT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46252</v>
      </c>
      <c r="F189" t="inlineStr">
        <is>
          <t>KRONOBERGS LÄN</t>
        </is>
      </c>
      <c r="G189" t="inlineStr">
        <is>
          <t>ÄLMHULT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45469</v>
      </c>
      <c r="E190" s="1" t="n">
        <v>46252</v>
      </c>
      <c r="F190" t="inlineStr">
        <is>
          <t>KRONOBERGS LÄN</t>
        </is>
      </c>
      <c r="G190" t="inlineStr">
        <is>
          <t>ÄLMHULT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44610</v>
      </c>
      <c r="E191" s="1" t="n">
        <v>46252</v>
      </c>
      <c r="F191" t="inlineStr">
        <is>
          <t>KRONOBERGS LÄN</t>
        </is>
      </c>
      <c r="G191" t="inlineStr">
        <is>
          <t>ÄLMHULT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46252</v>
      </c>
      <c r="F192" t="inlineStr">
        <is>
          <t>KRONOBERGS LÄN</t>
        </is>
      </c>
      <c r="G192" t="inlineStr">
        <is>
          <t>ÄLMHULT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44826</v>
      </c>
      <c r="E193" s="1" t="n">
        <v>46252</v>
      </c>
      <c r="F193" t="inlineStr">
        <is>
          <t>KRONOBERGS LÄN</t>
        </is>
      </c>
      <c r="G193" t="inlineStr">
        <is>
          <t>ÄLMHULT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44962</v>
      </c>
      <c r="E194" s="1" t="n">
        <v>46252</v>
      </c>
      <c r="F194" t="inlineStr">
        <is>
          <t>KRONOBERGS LÄN</t>
        </is>
      </c>
      <c r="G194" t="inlineStr">
        <is>
          <t>ÄLMHULT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46252</v>
      </c>
      <c r="F195" t="inlineStr">
        <is>
          <t>KRONOBERGS LÄN</t>
        </is>
      </c>
      <c r="G195" t="inlineStr">
        <is>
          <t>ÄLMHULT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46252</v>
      </c>
      <c r="F196" t="inlineStr">
        <is>
          <t>KRONOBERGS LÄN</t>
        </is>
      </c>
      <c r="G196" t="inlineStr">
        <is>
          <t>ÄLMHULT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46252</v>
      </c>
      <c r="F197" t="inlineStr">
        <is>
          <t>KRONOBERGS LÄN</t>
        </is>
      </c>
      <c r="G197" t="inlineStr">
        <is>
          <t>ÄLMHULT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46252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46252</v>
      </c>
      <c r="F199" t="inlineStr">
        <is>
          <t>KRONOBERGS LÄN</t>
        </is>
      </c>
      <c r="G199" t="inlineStr">
        <is>
          <t>ÄLMHULT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46252</v>
      </c>
      <c r="F200" t="inlineStr">
        <is>
          <t>KRONOBERGS LÄN</t>
        </is>
      </c>
      <c r="G200" t="inlineStr">
        <is>
          <t>ÄLMHULT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46252</v>
      </c>
      <c r="F201" t="inlineStr">
        <is>
          <t>KRONOBERGS LÄN</t>
        </is>
      </c>
      <c r="G201" t="inlineStr">
        <is>
          <t>ÄLMHULT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46252</v>
      </c>
      <c r="F202" t="inlineStr">
        <is>
          <t>KRONOBERGS LÄN</t>
        </is>
      </c>
      <c r="G202" t="inlineStr">
        <is>
          <t>ÄLMHULT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46252</v>
      </c>
      <c r="F203" t="inlineStr">
        <is>
          <t>KRONOBERGS LÄN</t>
        </is>
      </c>
      <c r="G203" t="inlineStr">
        <is>
          <t>ÄLMHULT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46252</v>
      </c>
      <c r="F204" t="inlineStr">
        <is>
          <t>KRONOBERGS LÄN</t>
        </is>
      </c>
      <c r="G204" t="inlineStr">
        <is>
          <t>ÄLMHULT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46252</v>
      </c>
      <c r="F205" t="inlineStr">
        <is>
          <t>KRONOBERGS LÄN</t>
        </is>
      </c>
      <c r="G205" t="inlineStr">
        <is>
          <t>ÄLMHULT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46252</v>
      </c>
      <c r="F206" t="inlineStr">
        <is>
          <t>KRONOBERGS LÄN</t>
        </is>
      </c>
      <c r="G206" t="inlineStr">
        <is>
          <t>ÄLMHULT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45457</v>
      </c>
      <c r="E207" s="1" t="n">
        <v>46252</v>
      </c>
      <c r="F207" t="inlineStr">
        <is>
          <t>KRONOBERGS LÄN</t>
        </is>
      </c>
      <c r="G207" t="inlineStr">
        <is>
          <t>ÄLMHULT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44855-2021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46252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45543</v>
      </c>
      <c r="E209" s="1" t="n">
        <v>46252</v>
      </c>
      <c r="F209" t="inlineStr">
        <is>
          <t>KRONOBERGS LÄN</t>
        </is>
      </c>
      <c r="G209" t="inlineStr">
        <is>
          <t>ÄLMHULT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46252</v>
      </c>
      <c r="F210" t="inlineStr">
        <is>
          <t>KRONOBERGS LÄN</t>
        </is>
      </c>
      <c r="G210" t="inlineStr">
        <is>
          <t>ÄLMHULT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45133</v>
      </c>
      <c r="E211" s="1" t="n">
        <v>46252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46252</v>
      </c>
      <c r="F212" t="inlineStr">
        <is>
          <t>KRONOBERGS LÄN</t>
        </is>
      </c>
      <c r="G212" t="inlineStr">
        <is>
          <t>ÄLMHULT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46252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46252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46252</v>
      </c>
      <c r="F215" t="inlineStr">
        <is>
          <t>KRONOBERGS LÄN</t>
        </is>
      </c>
      <c r="G215" t="inlineStr">
        <is>
          <t>ÄLMHULT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46252</v>
      </c>
      <c r="F216" t="inlineStr">
        <is>
          <t>KRONOBERGS LÄN</t>
        </is>
      </c>
      <c r="G216" t="inlineStr">
        <is>
          <t>ÄLMHULT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46252</v>
      </c>
      <c r="F217" t="inlineStr">
        <is>
          <t>KRONOBERGS LÄN</t>
        </is>
      </c>
      <c r="G217" t="inlineStr">
        <is>
          <t>ÄLMHULT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46252</v>
      </c>
      <c r="F218" t="inlineStr">
        <is>
          <t>KRONOBERGS LÄN</t>
        </is>
      </c>
      <c r="G218" t="inlineStr">
        <is>
          <t>ÄLMHULT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71802-2021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44543</v>
      </c>
      <c r="E219" s="1" t="n">
        <v>46252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46252</v>
      </c>
      <c r="F220" t="inlineStr">
        <is>
          <t>KRONOBERGS LÄN</t>
        </is>
      </c>
      <c r="G220" t="inlineStr">
        <is>
          <t>ÄLMHULT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46252</v>
      </c>
      <c r="F221" t="inlineStr">
        <is>
          <t>KRONOBERGS LÄN</t>
        </is>
      </c>
      <c r="G221" t="inlineStr">
        <is>
          <t>ÄLMHULT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46252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54734-2021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46252</v>
      </c>
      <c r="F223" t="inlineStr">
        <is>
          <t>KRONOBERGS LÄN</t>
        </is>
      </c>
      <c r="G223" t="inlineStr">
        <is>
          <t>ÄLMHULT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46252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46252</v>
      </c>
      <c r="F225" t="inlineStr">
        <is>
          <t>KRONOBERGS LÄN</t>
        </is>
      </c>
      <c r="G225" t="inlineStr">
        <is>
          <t>ÄLMHULT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46252</v>
      </c>
      <c r="F226" t="inlineStr">
        <is>
          <t>KRONOBERGS LÄN</t>
        </is>
      </c>
      <c r="G226" t="inlineStr">
        <is>
          <t>ÄLMHULT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46252</v>
      </c>
      <c r="F227" t="inlineStr">
        <is>
          <t>KRONOBERGS LÄN</t>
        </is>
      </c>
      <c r="G227" t="inlineStr">
        <is>
          <t>ÄLMHULT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46252</v>
      </c>
      <c r="F228" t="inlineStr">
        <is>
          <t>KRONOBERGS LÄN</t>
        </is>
      </c>
      <c r="G228" t="inlineStr">
        <is>
          <t>ÄLMHULT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46252</v>
      </c>
      <c r="F229" t="inlineStr">
        <is>
          <t>KRONOBERGS LÄN</t>
        </is>
      </c>
      <c r="G229" t="inlineStr">
        <is>
          <t>ÄLMHULT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46252</v>
      </c>
      <c r="F230" t="inlineStr">
        <is>
          <t>KRONOBERGS LÄN</t>
        </is>
      </c>
      <c r="G230" t="inlineStr">
        <is>
          <t>ÄLMHULT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45282</v>
      </c>
      <c r="E231" s="1" t="n">
        <v>46252</v>
      </c>
      <c r="F231" t="inlineStr">
        <is>
          <t>KRONOBERGS LÄN</t>
        </is>
      </c>
      <c r="G231" t="inlineStr">
        <is>
          <t>ÄLMHULT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46252</v>
      </c>
      <c r="F232" t="inlineStr">
        <is>
          <t>KRONOBERGS LÄN</t>
        </is>
      </c>
      <c r="G232" t="inlineStr">
        <is>
          <t>ÄLMHULT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60690-2021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44496</v>
      </c>
      <c r="E233" s="1" t="n">
        <v>46252</v>
      </c>
      <c r="F233" t="inlineStr">
        <is>
          <t>KRONOBERGS LÄN</t>
        </is>
      </c>
      <c r="G233" t="inlineStr">
        <is>
          <t>ÄLMHULT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26602-2024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45469</v>
      </c>
      <c r="E234" s="1" t="n">
        <v>46252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46252</v>
      </c>
      <c r="F235" t="inlineStr">
        <is>
          <t>KRONOBERGS LÄN</t>
        </is>
      </c>
      <c r="G235" t="inlineStr">
        <is>
          <t>ÄLMHULT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63116-2023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45273</v>
      </c>
      <c r="E236" s="1" t="n">
        <v>46252</v>
      </c>
      <c r="F236" t="inlineStr">
        <is>
          <t>KRONOBERGS LÄN</t>
        </is>
      </c>
      <c r="G236" t="inlineStr">
        <is>
          <t>ÄLMHULT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63118-2023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46252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46252</v>
      </c>
      <c r="F238" t="inlineStr">
        <is>
          <t>KRONOBERGS LÄN</t>
        </is>
      </c>
      <c r="G238" t="inlineStr">
        <is>
          <t>ÄLMHULT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46252</v>
      </c>
      <c r="F239" t="inlineStr">
        <is>
          <t>KRONOBERGS LÄN</t>
        </is>
      </c>
      <c r="G239" t="inlineStr">
        <is>
          <t>ÄLMHULT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45612</v>
      </c>
      <c r="E240" s="1" t="n">
        <v>46252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46252</v>
      </c>
      <c r="F241" t="inlineStr">
        <is>
          <t>KRONOBERGS LÄN</t>
        </is>
      </c>
      <c r="G241" t="inlineStr">
        <is>
          <t>ÄLMHULT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46252</v>
      </c>
      <c r="F242" t="inlineStr">
        <is>
          <t>KRONOBERGS LÄN</t>
        </is>
      </c>
      <c r="G242" t="inlineStr">
        <is>
          <t>ÄLMHULT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58473-2023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46252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46252</v>
      </c>
      <c r="F244" t="inlineStr">
        <is>
          <t>KRONOBERGS LÄN</t>
        </is>
      </c>
      <c r="G244" t="inlineStr">
        <is>
          <t>ÄLMHULT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46252</v>
      </c>
      <c r="F245" t="inlineStr">
        <is>
          <t>KRONOBERGS LÄN</t>
        </is>
      </c>
      <c r="G245" t="inlineStr">
        <is>
          <t>ÄLMHULT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46252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46252</v>
      </c>
      <c r="F247" t="inlineStr">
        <is>
          <t>KRONOBERGS LÄN</t>
        </is>
      </c>
      <c r="G247" t="inlineStr">
        <is>
          <t>ÄLMHULT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42871-2024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45566</v>
      </c>
      <c r="E248" s="1" t="n">
        <v>46252</v>
      </c>
      <c r="F248" t="inlineStr">
        <is>
          <t>KRONOBERGS LÄN</t>
        </is>
      </c>
      <c r="G248" t="inlineStr">
        <is>
          <t>ÄLMHULT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46252</v>
      </c>
      <c r="F249" t="inlineStr">
        <is>
          <t>KRONOBERGS LÄN</t>
        </is>
      </c>
      <c r="G249" t="inlineStr">
        <is>
          <t>ÄLMHULT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46252</v>
      </c>
      <c r="F250" t="inlineStr">
        <is>
          <t>KRONOBERGS LÄN</t>
        </is>
      </c>
      <c r="G250" t="inlineStr">
        <is>
          <t>ÄLMHULT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46252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37067-2024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46252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45311</v>
      </c>
      <c r="E253" s="1" t="n">
        <v>46252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45308</v>
      </c>
      <c r="E254" s="1" t="n">
        <v>46252</v>
      </c>
      <c r="F254" t="inlineStr">
        <is>
          <t>KRONOBERGS LÄN</t>
        </is>
      </c>
      <c r="G254" t="inlineStr">
        <is>
          <t>ÄLMHULT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45384</v>
      </c>
      <c r="E255" s="1" t="n">
        <v>46252</v>
      </c>
      <c r="F255" t="inlineStr">
        <is>
          <t>KRONOBERGS LÄN</t>
        </is>
      </c>
      <c r="G255" t="inlineStr">
        <is>
          <t>ÄLMHULT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46252</v>
      </c>
      <c r="F256" t="inlineStr">
        <is>
          <t>KRONOBERGS LÄN</t>
        </is>
      </c>
      <c r="G256" t="inlineStr">
        <is>
          <t>ÄLMHULT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44876</v>
      </c>
      <c r="E257" s="1" t="n">
        <v>46252</v>
      </c>
      <c r="F257" t="inlineStr">
        <is>
          <t>KRONOBERGS LÄN</t>
        </is>
      </c>
      <c r="G257" t="inlineStr">
        <is>
          <t>ÄLMHULT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46252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45374</v>
      </c>
      <c r="E259" s="1" t="n">
        <v>46252</v>
      </c>
      <c r="F259" t="inlineStr">
        <is>
          <t>KRONOBERGS LÄN</t>
        </is>
      </c>
      <c r="G259" t="inlineStr">
        <is>
          <t>ÄLMHULT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46252</v>
      </c>
      <c r="F260" t="inlineStr">
        <is>
          <t>KRONOBERGS LÄN</t>
        </is>
      </c>
      <c r="G260" t="inlineStr">
        <is>
          <t>ÄLMHULT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46252</v>
      </c>
      <c r="F261" t="inlineStr">
        <is>
          <t>KRONOBERGS LÄN</t>
        </is>
      </c>
      <c r="G261" t="inlineStr">
        <is>
          <t>ÄLMHULT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44686</v>
      </c>
      <c r="E262" s="1" t="n">
        <v>46252</v>
      </c>
      <c r="F262" t="inlineStr">
        <is>
          <t>KRONOBERGS LÄN</t>
        </is>
      </c>
      <c r="G262" t="inlineStr">
        <is>
          <t>ÄLMHULT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46252</v>
      </c>
      <c r="F263" t="inlineStr">
        <is>
          <t>KRONOBERGS LÄN</t>
        </is>
      </c>
      <c r="G263" t="inlineStr">
        <is>
          <t>ÄLMHULT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46252</v>
      </c>
      <c r="F264" t="inlineStr">
        <is>
          <t>KRONOBERGS LÄN</t>
        </is>
      </c>
      <c r="G264" t="inlineStr">
        <is>
          <t>ÄLMHULT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46252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19722-2023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45051</v>
      </c>
      <c r="E266" s="1" t="n">
        <v>46252</v>
      </c>
      <c r="F266" t="inlineStr">
        <is>
          <t>KRONOBERGS LÄN</t>
        </is>
      </c>
      <c r="G266" t="inlineStr">
        <is>
          <t>ÄLMHULT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45314</v>
      </c>
      <c r="E267" s="1" t="n">
        <v>46252</v>
      </c>
      <c r="F267" t="inlineStr">
        <is>
          <t>KRONOBERGS LÄN</t>
        </is>
      </c>
      <c r="G267" t="inlineStr">
        <is>
          <t>ÄLMHULT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46252</v>
      </c>
      <c r="F268" t="inlineStr">
        <is>
          <t>KRONOBERGS LÄN</t>
        </is>
      </c>
      <c r="G268" t="inlineStr">
        <is>
          <t>ÄLMHULT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59585-2024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46252</v>
      </c>
      <c r="F269" t="inlineStr">
        <is>
          <t>KRONOBERGS LÄN</t>
        </is>
      </c>
      <c r="G269" t="inlineStr">
        <is>
          <t>ÄLMHULT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45638</v>
      </c>
      <c r="E270" s="1" t="n">
        <v>46252</v>
      </c>
      <c r="F270" t="inlineStr">
        <is>
          <t>KRONOBERGS LÄN</t>
        </is>
      </c>
      <c r="G270" t="inlineStr">
        <is>
          <t>ÄLMHULT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46252</v>
      </c>
      <c r="F271" t="inlineStr">
        <is>
          <t>KRONOBERGS LÄN</t>
        </is>
      </c>
      <c r="G271" t="inlineStr">
        <is>
          <t>ÄLMHULT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28026-2024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45476</v>
      </c>
      <c r="E272" s="1" t="n">
        <v>46252</v>
      </c>
      <c r="F272" t="inlineStr">
        <is>
          <t>KRONOBERGS LÄN</t>
        </is>
      </c>
      <c r="G272" t="inlineStr">
        <is>
          <t>ÄLMHULT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45707</v>
      </c>
      <c r="E273" s="1" t="n">
        <v>46252</v>
      </c>
      <c r="F273" t="inlineStr">
        <is>
          <t>KRONOBERGS LÄN</t>
        </is>
      </c>
      <c r="G273" t="inlineStr">
        <is>
          <t>ÄLMHULT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46252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46252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45653</v>
      </c>
      <c r="E276" s="1" t="n">
        <v>46252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46252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46252</v>
      </c>
      <c r="F278" t="inlineStr">
        <is>
          <t>KRONOBERGS LÄN</t>
        </is>
      </c>
      <c r="G278" t="inlineStr">
        <is>
          <t>ÄLMHULT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46252</v>
      </c>
      <c r="F279" t="inlineStr">
        <is>
          <t>KRONOBERGS LÄN</t>
        </is>
      </c>
      <c r="G279" t="inlineStr">
        <is>
          <t>ÄLMHULT</t>
        </is>
      </c>
      <c r="H279" t="inlineStr">
        <is>
          <t>Sveaskog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46252</v>
      </c>
      <c r="F280" t="inlineStr">
        <is>
          <t>KRONOBERGS LÄN</t>
        </is>
      </c>
      <c r="G280" t="inlineStr">
        <is>
          <t>ÄLMHULT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44942</v>
      </c>
      <c r="E281" s="1" t="n">
        <v>46252</v>
      </c>
      <c r="F281" t="inlineStr">
        <is>
          <t>KRONOBERGS LÄN</t>
        </is>
      </c>
      <c r="G281" t="inlineStr">
        <is>
          <t>ÄLMHULT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45315</v>
      </c>
      <c r="E282" s="1" t="n">
        <v>46252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39022-2022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46252</v>
      </c>
      <c r="F283" t="inlineStr">
        <is>
          <t>KRONOBERGS LÄN</t>
        </is>
      </c>
      <c r="G283" t="inlineStr">
        <is>
          <t>ÄLMHULT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46252</v>
      </c>
      <c r="F284" t="inlineStr">
        <is>
          <t>KRONOBERGS LÄN</t>
        </is>
      </c>
      <c r="G284" t="inlineStr">
        <is>
          <t>ÄLMHULT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46252</v>
      </c>
      <c r="F285" t="inlineStr">
        <is>
          <t>KRONOBERGS LÄN</t>
        </is>
      </c>
      <c r="G285" t="inlineStr">
        <is>
          <t>ÄLMHULT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59124-2022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46252</v>
      </c>
      <c r="F286" t="inlineStr">
        <is>
          <t>KRONOBERGS LÄN</t>
        </is>
      </c>
      <c r="G286" t="inlineStr">
        <is>
          <t>ÄLMHULT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46252</v>
      </c>
      <c r="F287" t="inlineStr">
        <is>
          <t>KRONOBERGS LÄN</t>
        </is>
      </c>
      <c r="G287" t="inlineStr">
        <is>
          <t>ÄLMHULT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46252</v>
      </c>
      <c r="F288" t="inlineStr">
        <is>
          <t>KRONOBERGS LÄN</t>
        </is>
      </c>
      <c r="G288" t="inlineStr">
        <is>
          <t>ÄLMHULT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46252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45240</v>
      </c>
      <c r="E290" s="1" t="n">
        <v>46252</v>
      </c>
      <c r="F290" t="inlineStr">
        <is>
          <t>KRONOBERGS LÄN</t>
        </is>
      </c>
      <c r="G290" t="inlineStr">
        <is>
          <t>ÄLMHULT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46252</v>
      </c>
      <c r="F291" t="inlineStr">
        <is>
          <t>KRONOBERGS LÄN</t>
        </is>
      </c>
      <c r="G291" t="inlineStr">
        <is>
          <t>ÄLMHULT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46252</v>
      </c>
      <c r="F292" t="inlineStr">
        <is>
          <t>KRONOBERGS LÄN</t>
        </is>
      </c>
      <c r="G292" t="inlineStr">
        <is>
          <t>ÄLMHULT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46252</v>
      </c>
      <c r="F293" t="inlineStr">
        <is>
          <t>KRONOBERGS LÄN</t>
        </is>
      </c>
      <c r="G293" t="inlineStr">
        <is>
          <t>ÄLMHULT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45969</v>
      </c>
      <c r="E294" s="1" t="n">
        <v>46252</v>
      </c>
      <c r="F294" t="inlineStr">
        <is>
          <t>KRONOBERGS LÄN</t>
        </is>
      </c>
      <c r="G294" t="inlineStr">
        <is>
          <t>ÄLMHULT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45969</v>
      </c>
      <c r="E295" s="1" t="n">
        <v>46252</v>
      </c>
      <c r="F295" t="inlineStr">
        <is>
          <t>KRONOBERGS LÄN</t>
        </is>
      </c>
      <c r="G295" t="inlineStr">
        <is>
          <t>ÄLMHULT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45693</v>
      </c>
      <c r="E296" s="1" t="n">
        <v>46252</v>
      </c>
      <c r="F296" t="inlineStr">
        <is>
          <t>KRONOBERGS LÄN</t>
        </is>
      </c>
      <c r="G296" t="inlineStr">
        <is>
          <t>ÄLMHULT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56955-2024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45628</v>
      </c>
      <c r="E297" s="1" t="n">
        <v>46252</v>
      </c>
      <c r="F297" t="inlineStr">
        <is>
          <t>KRONOBERGS LÄN</t>
        </is>
      </c>
      <c r="G297" t="inlineStr">
        <is>
          <t>ÄLMHULT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45286</v>
      </c>
      <c r="E298" s="1" t="n">
        <v>46252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44853</v>
      </c>
      <c r="E299" s="1" t="n">
        <v>46252</v>
      </c>
      <c r="F299" t="inlineStr">
        <is>
          <t>KRONOBERGS LÄN</t>
        </is>
      </c>
      <c r="G299" t="inlineStr">
        <is>
          <t>ÄLMHULT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45352</v>
      </c>
      <c r="E300" s="1" t="n">
        <v>46252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45303</v>
      </c>
      <c r="E301" s="1" t="n">
        <v>46252</v>
      </c>
      <c r="F301" t="inlineStr">
        <is>
          <t>KRONOBERGS LÄN</t>
        </is>
      </c>
      <c r="G301" t="inlineStr">
        <is>
          <t>ÄLMHULT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65247-2023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45290</v>
      </c>
      <c r="E302" s="1" t="n">
        <v>46252</v>
      </c>
      <c r="F302" t="inlineStr">
        <is>
          <t>KRONOBERGS LÄN</t>
        </is>
      </c>
      <c r="G302" t="inlineStr">
        <is>
          <t>ÄLMHULT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46252</v>
      </c>
      <c r="F303" t="inlineStr">
        <is>
          <t>KRONOBERGS LÄN</t>
        </is>
      </c>
      <c r="G303" t="inlineStr">
        <is>
          <t>ÄLMHULT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46252</v>
      </c>
      <c r="F304" t="inlineStr">
        <is>
          <t>KRONOBERGS LÄN</t>
        </is>
      </c>
      <c r="G304" t="inlineStr">
        <is>
          <t>ÄLMHULT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45513</v>
      </c>
      <c r="E305" s="1" t="n">
        <v>46252</v>
      </c>
      <c r="F305" t="inlineStr">
        <is>
          <t>KRONOBERGS LÄN</t>
        </is>
      </c>
      <c r="G305" t="inlineStr">
        <is>
          <t>ÄLMHULT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45586</v>
      </c>
      <c r="E306" s="1" t="n">
        <v>46252</v>
      </c>
      <c r="F306" t="inlineStr">
        <is>
          <t>KRONOBERGS LÄN</t>
        </is>
      </c>
      <c r="G306" t="inlineStr">
        <is>
          <t>ÄLMHULT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46252</v>
      </c>
      <c r="F307" t="inlineStr">
        <is>
          <t>KRONOBERGS LÄN</t>
        </is>
      </c>
      <c r="G307" t="inlineStr">
        <is>
          <t>ÄLMHULT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46252</v>
      </c>
      <c r="F308" t="inlineStr">
        <is>
          <t>KRONOBERGS LÄN</t>
        </is>
      </c>
      <c r="G308" t="inlineStr">
        <is>
          <t>ÄLMHULT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45443</v>
      </c>
      <c r="E309" s="1" t="n">
        <v>46252</v>
      </c>
      <c r="F309" t="inlineStr">
        <is>
          <t>KRONOBERGS LÄN</t>
        </is>
      </c>
      <c r="G309" t="inlineStr">
        <is>
          <t>ÄLMHULT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46252</v>
      </c>
      <c r="F310" t="inlineStr">
        <is>
          <t>KRONOBERGS LÄN</t>
        </is>
      </c>
      <c r="G310" t="inlineStr">
        <is>
          <t>ÄLMHULT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46252</v>
      </c>
      <c r="F311" t="inlineStr">
        <is>
          <t>KRONOBERGS LÄN</t>
        </is>
      </c>
      <c r="G311" t="inlineStr">
        <is>
          <t>ÄLMHULT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45680</v>
      </c>
      <c r="E312" s="1" t="n">
        <v>46252</v>
      </c>
      <c r="F312" t="inlineStr">
        <is>
          <t>KRONOBERGS LÄN</t>
        </is>
      </c>
      <c r="G312" t="inlineStr">
        <is>
          <t>ÄLMHULT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46252</v>
      </c>
      <c r="F313" t="inlineStr">
        <is>
          <t>KRONOBERGS LÄN</t>
        </is>
      </c>
      <c r="G313" t="inlineStr">
        <is>
          <t>ÄLMHULT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45191</v>
      </c>
      <c r="E314" s="1" t="n">
        <v>46252</v>
      </c>
      <c r="F314" t="inlineStr">
        <is>
          <t>KRONOBERGS LÄN</t>
        </is>
      </c>
      <c r="G314" t="inlineStr">
        <is>
          <t>ÄLMHULT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46252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46252</v>
      </c>
      <c r="F316" t="inlineStr">
        <is>
          <t>KRONOBERGS LÄN</t>
        </is>
      </c>
      <c r="G316" t="inlineStr">
        <is>
          <t>ÄLMHULT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45589</v>
      </c>
      <c r="E317" s="1" t="n">
        <v>46252</v>
      </c>
      <c r="F317" t="inlineStr">
        <is>
          <t>KRONOBERGS LÄN</t>
        </is>
      </c>
      <c r="G317" t="inlineStr">
        <is>
          <t>ÄLMHULT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46252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44855</v>
      </c>
      <c r="E319" s="1" t="n">
        <v>46252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46252</v>
      </c>
      <c r="F320" t="inlineStr">
        <is>
          <t>KRONOBERGS LÄN</t>
        </is>
      </c>
      <c r="G320" t="inlineStr">
        <is>
          <t>ÄLMHULT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45680</v>
      </c>
      <c r="E321" s="1" t="n">
        <v>46252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45462</v>
      </c>
      <c r="E322" s="1" t="n">
        <v>46252</v>
      </c>
      <c r="F322" t="inlineStr">
        <is>
          <t>KRONOBERGS LÄN</t>
        </is>
      </c>
      <c r="G322" t="inlineStr">
        <is>
          <t>ÄLMHULT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45015</v>
      </c>
      <c r="E323" s="1" t="n">
        <v>46252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45412</v>
      </c>
      <c r="E324" s="1" t="n">
        <v>46252</v>
      </c>
      <c r="F324" t="inlineStr">
        <is>
          <t>KRONOBERGS LÄN</t>
        </is>
      </c>
      <c r="G324" t="inlineStr">
        <is>
          <t>ÄLMHULT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46252</v>
      </c>
      <c r="F325" t="inlineStr">
        <is>
          <t>KRONOBERGS LÄN</t>
        </is>
      </c>
      <c r="G325" t="inlineStr">
        <is>
          <t>ÄLMHULT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45421</v>
      </c>
      <c r="E326" s="1" t="n">
        <v>46252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46252</v>
      </c>
      <c r="F327" t="inlineStr">
        <is>
          <t>KRONOBERGS LÄN</t>
        </is>
      </c>
      <c r="G327" t="inlineStr">
        <is>
          <t>ÄLMHULT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45090</v>
      </c>
      <c r="E328" s="1" t="n">
        <v>46252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45567</v>
      </c>
      <c r="E329" s="1" t="n">
        <v>46252</v>
      </c>
      <c r="F329" t="inlineStr">
        <is>
          <t>KRONOBERGS LÄN</t>
        </is>
      </c>
      <c r="G329" t="inlineStr">
        <is>
          <t>ÄLMHULT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44958</v>
      </c>
      <c r="E330" s="1" t="n">
        <v>46252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46252</v>
      </c>
      <c r="F331" t="inlineStr">
        <is>
          <t>KRONOBERGS LÄN</t>
        </is>
      </c>
      <c r="G331" t="inlineStr">
        <is>
          <t>ÄLMHULT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46252</v>
      </c>
      <c r="F332" t="inlineStr">
        <is>
          <t>KRONOBERGS LÄN</t>
        </is>
      </c>
      <c r="G332" t="inlineStr">
        <is>
          <t>ÄLMHULT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59803-2025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46252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44861</v>
      </c>
      <c r="E334" s="1" t="n">
        <v>46252</v>
      </c>
      <c r="F334" t="inlineStr">
        <is>
          <t>KRONOBERGS LÄN</t>
        </is>
      </c>
      <c r="G334" t="inlineStr">
        <is>
          <t>ÄLMHULT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44930</v>
      </c>
      <c r="E335" s="1" t="n">
        <v>46252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46252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45414</v>
      </c>
      <c r="E337" s="1" t="n">
        <v>46252</v>
      </c>
      <c r="F337" t="inlineStr">
        <is>
          <t>KRONOBERGS LÄN</t>
        </is>
      </c>
      <c r="G337" t="inlineStr">
        <is>
          <t>ÄLMHULT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55629-2021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44476</v>
      </c>
      <c r="E338" s="1" t="n">
        <v>46252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59771-2025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45992</v>
      </c>
      <c r="E339" s="1" t="n">
        <v>46252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59780-2025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45992</v>
      </c>
      <c r="E340" s="1" t="n">
        <v>46252</v>
      </c>
      <c r="F340" t="inlineStr">
        <is>
          <t>KRONOBERGS LÄN</t>
        </is>
      </c>
      <c r="G340" t="inlineStr">
        <is>
          <t>ÄLMHULT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46252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46252</v>
      </c>
      <c r="F342" t="inlineStr">
        <is>
          <t>KRONOBERGS LÄN</t>
        </is>
      </c>
      <c r="G342" t="inlineStr">
        <is>
          <t>ÄLMHULT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46252</v>
      </c>
      <c r="F343" t="inlineStr">
        <is>
          <t>KRONOBERGS LÄN</t>
        </is>
      </c>
      <c r="G343" t="inlineStr">
        <is>
          <t>ÄLMHULT</t>
        </is>
      </c>
      <c r="H343" t="inlineStr">
        <is>
          <t>Kommuner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46252</v>
      </c>
      <c r="F344" t="inlineStr">
        <is>
          <t>KRONOBERGS LÄN</t>
        </is>
      </c>
      <c r="G344" t="inlineStr">
        <is>
          <t>ÄLMHULT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45177</v>
      </c>
      <c r="E345" s="1" t="n">
        <v>46252</v>
      </c>
      <c r="F345" t="inlineStr">
        <is>
          <t>KRONOBERGS LÄN</t>
        </is>
      </c>
      <c r="G345" t="inlineStr">
        <is>
          <t>ÄLMHULT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46252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46252</v>
      </c>
      <c r="F347" t="inlineStr">
        <is>
          <t>KRONOBERGS LÄN</t>
        </is>
      </c>
      <c r="G347" t="inlineStr">
        <is>
          <t>ÄLMHULT</t>
        </is>
      </c>
      <c r="H347" t="inlineStr">
        <is>
          <t>Kommuner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11014-2023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44986</v>
      </c>
      <c r="E348" s="1" t="n">
        <v>46252</v>
      </c>
      <c r="F348" t="inlineStr">
        <is>
          <t>KRONOBERGS LÄN</t>
        </is>
      </c>
      <c r="G348" t="inlineStr">
        <is>
          <t>ÄLMHULT</t>
        </is>
      </c>
      <c r="H348" t="inlineStr">
        <is>
          <t>Kyrkan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46252</v>
      </c>
      <c r="F349" t="inlineStr">
        <is>
          <t>KRONOBERGS LÄN</t>
        </is>
      </c>
      <c r="G349" t="inlineStr">
        <is>
          <t>ÄLMHULT</t>
        </is>
      </c>
      <c r="H349" t="inlineStr">
        <is>
          <t>Kommuner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46252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46252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44994</v>
      </c>
      <c r="E352" s="1" t="n">
        <v>46252</v>
      </c>
      <c r="F352" t="inlineStr">
        <is>
          <t>KRONOBERGS LÄN</t>
        </is>
      </c>
      <c r="G352" t="inlineStr">
        <is>
          <t>ÄLMHULT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45042</v>
      </c>
      <c r="E353" s="1" t="n">
        <v>46252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45680</v>
      </c>
      <c r="E354" s="1" t="n">
        <v>46252</v>
      </c>
      <c r="F354" t="inlineStr">
        <is>
          <t>KRONOBERGS LÄN</t>
        </is>
      </c>
      <c r="G354" t="inlineStr">
        <is>
          <t>ÄLMHULT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45175</v>
      </c>
      <c r="E355" s="1" t="n">
        <v>46252</v>
      </c>
      <c r="F355" t="inlineStr">
        <is>
          <t>KRONOBERGS LÄN</t>
        </is>
      </c>
      <c r="G355" t="inlineStr">
        <is>
          <t>ÄLMHULT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59099-2022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44897</v>
      </c>
      <c r="E356" s="1" t="n">
        <v>46252</v>
      </c>
      <c r="F356" t="inlineStr">
        <is>
          <t>KRONOBERGS LÄN</t>
        </is>
      </c>
      <c r="G356" t="inlineStr">
        <is>
          <t>ÄLMHULT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46252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45677</v>
      </c>
      <c r="E358" s="1" t="n">
        <v>46252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45462</v>
      </c>
      <c r="E359" s="1" t="n">
        <v>46252</v>
      </c>
      <c r="F359" t="inlineStr">
        <is>
          <t>KRONOBERGS LÄN</t>
        </is>
      </c>
      <c r="G359" t="inlineStr">
        <is>
          <t>ÄLMHULT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45081</v>
      </c>
      <c r="E360" s="1" t="n">
        <v>46252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45078</v>
      </c>
      <c r="E361" s="1" t="n">
        <v>46252</v>
      </c>
      <c r="F361" t="inlineStr">
        <is>
          <t>KRONOBERGS LÄN</t>
        </is>
      </c>
      <c r="G361" t="inlineStr">
        <is>
          <t>ÄLMHULT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46252</v>
      </c>
      <c r="F362" t="inlineStr">
        <is>
          <t>KRONOBERGS LÄN</t>
        </is>
      </c>
      <c r="G362" t="inlineStr">
        <is>
          <t>ÄLMHULT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45068</v>
      </c>
      <c r="E363" s="1" t="n">
        <v>46252</v>
      </c>
      <c r="F363" t="inlineStr">
        <is>
          <t>KRONOBERGS LÄN</t>
        </is>
      </c>
      <c r="G363" t="inlineStr">
        <is>
          <t>ÄLMHULT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46005</v>
      </c>
      <c r="E364" s="1" t="n">
        <v>46252</v>
      </c>
      <c r="F364" t="inlineStr">
        <is>
          <t>KRONOBERGS LÄN</t>
        </is>
      </c>
      <c r="G364" t="inlineStr">
        <is>
          <t>ÄLMHULT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46252</v>
      </c>
      <c r="F365" t="inlineStr">
        <is>
          <t>KRONOBERGS LÄN</t>
        </is>
      </c>
      <c r="G365" t="inlineStr">
        <is>
          <t>ÄLMHULT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44921</v>
      </c>
      <c r="E366" s="1" t="n">
        <v>46252</v>
      </c>
      <c r="F366" t="inlineStr">
        <is>
          <t>KRONOBERGS LÄN</t>
        </is>
      </c>
      <c r="G366" t="inlineStr">
        <is>
          <t>ÄLMHULT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46252</v>
      </c>
      <c r="F367" t="inlineStr">
        <is>
          <t>KRONOBERGS LÄN</t>
        </is>
      </c>
      <c r="G367" t="inlineStr">
        <is>
          <t>ÄLMHULT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35248-2023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46252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46252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46252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44942</v>
      </c>
      <c r="E371" s="1" t="n">
        <v>46252</v>
      </c>
      <c r="F371" t="inlineStr">
        <is>
          <t>KRONOBERGS LÄN</t>
        </is>
      </c>
      <c r="G371" t="inlineStr">
        <is>
          <t>ÄLMHULT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45391</v>
      </c>
      <c r="E372" s="1" t="n">
        <v>46252</v>
      </c>
      <c r="F372" t="inlineStr">
        <is>
          <t>KRONOBERGS LÄN</t>
        </is>
      </c>
      <c r="G372" t="inlineStr">
        <is>
          <t>ÄLMHULT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45228</v>
      </c>
      <c r="E373" s="1" t="n">
        <v>46252</v>
      </c>
      <c r="F373" t="inlineStr">
        <is>
          <t>KRONOBERGS LÄN</t>
        </is>
      </c>
      <c r="G373" t="inlineStr">
        <is>
          <t>ÄLMHULT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27334-2025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45812</v>
      </c>
      <c r="E374" s="1" t="n">
        <v>46252</v>
      </c>
      <c r="F374" t="inlineStr">
        <is>
          <t>KRONOBERGS LÄN</t>
        </is>
      </c>
      <c r="G374" t="inlineStr">
        <is>
          <t>ÄLMHULT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46252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46252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45373</v>
      </c>
      <c r="E377" s="1" t="n">
        <v>46252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46252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45155</v>
      </c>
      <c r="E379" s="1" t="n">
        <v>46252</v>
      </c>
      <c r="F379" t="inlineStr">
        <is>
          <t>KRONOBERGS LÄN</t>
        </is>
      </c>
      <c r="G379" t="inlineStr">
        <is>
          <t>ÄLMHULT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60876-2022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44914</v>
      </c>
      <c r="E380" s="1" t="n">
        <v>46252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46016</v>
      </c>
      <c r="E381" s="1" t="n">
        <v>46252</v>
      </c>
      <c r="F381" t="inlineStr">
        <is>
          <t>KRONOBERGS LÄN</t>
        </is>
      </c>
      <c r="G381" t="inlineStr">
        <is>
          <t>ÄLMHULT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36968-2024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45538</v>
      </c>
      <c r="E382" s="1" t="n">
        <v>46252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27863-2022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44743</v>
      </c>
      <c r="E383" s="1" t="n">
        <v>46252</v>
      </c>
      <c r="F383" t="inlineStr">
        <is>
          <t>KRONOBERGS LÄN</t>
        </is>
      </c>
      <c r="G383" t="inlineStr">
        <is>
          <t>ÄLMHULT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62241-2021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44503</v>
      </c>
      <c r="E384" s="1" t="n">
        <v>46252</v>
      </c>
      <c r="F384" t="inlineStr">
        <is>
          <t>KRONOBERGS LÄN</t>
        </is>
      </c>
      <c r="G384" t="inlineStr">
        <is>
          <t>ÄLMHULT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45564</v>
      </c>
      <c r="E385" s="1" t="n">
        <v>46252</v>
      </c>
      <c r="F385" t="inlineStr">
        <is>
          <t>KRONOBERGS LÄN</t>
        </is>
      </c>
      <c r="G385" t="inlineStr">
        <is>
          <t>ÄLMHULT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46252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45559</v>
      </c>
      <c r="E387" s="1" t="n">
        <v>46252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38812-2024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46252</v>
      </c>
      <c r="F388" t="inlineStr">
        <is>
          <t>KRONOBERGS LÄN</t>
        </is>
      </c>
      <c r="G388" t="inlineStr">
        <is>
          <t>ÄLMHULT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46252</v>
      </c>
      <c r="F389" t="inlineStr">
        <is>
          <t>KRONOBERGS LÄN</t>
        </is>
      </c>
      <c r="G389" t="inlineStr">
        <is>
          <t>ÄLMHULT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45317</v>
      </c>
      <c r="E390" s="1" t="n">
        <v>46252</v>
      </c>
      <c r="F390" t="inlineStr">
        <is>
          <t>KRONOBERGS LÄN</t>
        </is>
      </c>
      <c r="G390" t="inlineStr">
        <is>
          <t>ÄLMHULT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46252</v>
      </c>
      <c r="F391" t="inlineStr">
        <is>
          <t>KRONOBERGS LÄN</t>
        </is>
      </c>
      <c r="G391" t="inlineStr">
        <is>
          <t>ÄLMHULT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45214</v>
      </c>
      <c r="E392" s="1" t="n">
        <v>46252</v>
      </c>
      <c r="F392" t="inlineStr">
        <is>
          <t>KRONOBERGS LÄN</t>
        </is>
      </c>
      <c r="G392" t="inlineStr">
        <is>
          <t>ÄLMHULT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46252</v>
      </c>
      <c r="F393" t="inlineStr">
        <is>
          <t>KRONOBERGS LÄN</t>
        </is>
      </c>
      <c r="G393" t="inlineStr">
        <is>
          <t>ÄLMHULT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46252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46035</v>
      </c>
      <c r="E395" s="1" t="n">
        <v>46252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45078</v>
      </c>
      <c r="E396" s="1" t="n">
        <v>46252</v>
      </c>
      <c r="F396" t="inlineStr">
        <is>
          <t>KRONOBERGS LÄN</t>
        </is>
      </c>
      <c r="G396" t="inlineStr">
        <is>
          <t>ÄLMHULT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45078</v>
      </c>
      <c r="E397" s="1" t="n">
        <v>46252</v>
      </c>
      <c r="F397" t="inlineStr">
        <is>
          <t>KRONOBERGS LÄN</t>
        </is>
      </c>
      <c r="G397" t="inlineStr">
        <is>
          <t>ÄLMHULT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45254</v>
      </c>
      <c r="E398" s="1" t="n">
        <v>46252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46252</v>
      </c>
      <c r="F399" t="inlineStr">
        <is>
          <t>KRONOBERGS LÄN</t>
        </is>
      </c>
      <c r="G399" t="inlineStr">
        <is>
          <t>ÄLMHULT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46252</v>
      </c>
      <c r="F400" t="inlineStr">
        <is>
          <t>KRONOBERGS LÄN</t>
        </is>
      </c>
      <c r="G400" t="inlineStr">
        <is>
          <t>ÄLMHULT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46252</v>
      </c>
      <c r="F401" t="inlineStr">
        <is>
          <t>KRONOBERGS LÄN</t>
        </is>
      </c>
      <c r="G401" t="inlineStr">
        <is>
          <t>ÄLMHULT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46252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46252</v>
      </c>
      <c r="F403" t="inlineStr">
        <is>
          <t>KRONOBERGS LÄN</t>
        </is>
      </c>
      <c r="G403" t="inlineStr">
        <is>
          <t>ÄLMHULT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46252</v>
      </c>
      <c r="F404" t="inlineStr">
        <is>
          <t>KRONOBERGS LÄN</t>
        </is>
      </c>
      <c r="G404" t="inlineStr">
        <is>
          <t>ÄLMHULT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46252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44882</v>
      </c>
      <c r="E406" s="1" t="n">
        <v>46252</v>
      </c>
      <c r="F406" t="inlineStr">
        <is>
          <t>KRONOBERGS LÄN</t>
        </is>
      </c>
      <c r="G406" t="inlineStr">
        <is>
          <t>ÄLMHULT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41566-2023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45175</v>
      </c>
      <c r="E407" s="1" t="n">
        <v>46252</v>
      </c>
      <c r="F407" t="inlineStr">
        <is>
          <t>KRONOBERGS LÄN</t>
        </is>
      </c>
      <c r="G407" t="inlineStr">
        <is>
          <t>ÄLMHULT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41577-2023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45175</v>
      </c>
      <c r="E408" s="1" t="n">
        <v>46252</v>
      </c>
      <c r="F408" t="inlineStr">
        <is>
          <t>KRONOBERGS LÄN</t>
        </is>
      </c>
      <c r="G408" t="inlineStr">
        <is>
          <t>ÄLMHULT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46252</v>
      </c>
      <c r="F409" t="inlineStr">
        <is>
          <t>KRONOBERGS LÄN</t>
        </is>
      </c>
      <c r="G409" t="inlineStr">
        <is>
          <t>ÄLMHULT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46252</v>
      </c>
      <c r="F410" t="inlineStr">
        <is>
          <t>KRONOBERGS LÄN</t>
        </is>
      </c>
      <c r="G410" t="inlineStr">
        <is>
          <t>ÄLMHULT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45716</v>
      </c>
      <c r="E411" s="1" t="n">
        <v>46252</v>
      </c>
      <c r="F411" t="inlineStr">
        <is>
          <t>KRONOBERGS LÄN</t>
        </is>
      </c>
      <c r="G411" t="inlineStr">
        <is>
          <t>ÄLMHULT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46252</v>
      </c>
      <c r="F412" t="inlineStr">
        <is>
          <t>KRONOBERGS LÄN</t>
        </is>
      </c>
      <c r="G412" t="inlineStr">
        <is>
          <t>ÄLMHULT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46252</v>
      </c>
      <c r="F413" t="inlineStr">
        <is>
          <t>KRONOBERGS LÄN</t>
        </is>
      </c>
      <c r="G413" t="inlineStr">
        <is>
          <t>ÄLMHULT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46252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46252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46252</v>
      </c>
      <c r="F416" t="inlineStr">
        <is>
          <t>KRONOBERGS LÄN</t>
        </is>
      </c>
      <c r="G416" t="inlineStr">
        <is>
          <t>ÄLMHULT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21272-2024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45440</v>
      </c>
      <c r="E417" s="1" t="n">
        <v>46252</v>
      </c>
      <c r="F417" t="inlineStr">
        <is>
          <t>KRONOBERGS LÄN</t>
        </is>
      </c>
      <c r="G417" t="inlineStr">
        <is>
          <t>ÄLMHULT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72469-2021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44545</v>
      </c>
      <c r="E418" s="1" t="n">
        <v>46252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46252</v>
      </c>
      <c r="F419" t="inlineStr">
        <is>
          <t>KRONOBERGS LÄN</t>
        </is>
      </c>
      <c r="G419" t="inlineStr">
        <is>
          <t>ÄLMHULT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61968-2024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45653</v>
      </c>
      <c r="E420" s="1" t="n">
        <v>46252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45140</v>
      </c>
      <c r="E421" s="1" t="n">
        <v>46252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68212-2021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44526</v>
      </c>
      <c r="E422" s="1" t="n">
        <v>46252</v>
      </c>
      <c r="F422" t="inlineStr">
        <is>
          <t>KRONOBERGS LÄN</t>
        </is>
      </c>
      <c r="G422" t="inlineStr">
        <is>
          <t>ÄLMHULT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45612</v>
      </c>
      <c r="E423" s="1" t="n">
        <v>46252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45625</v>
      </c>
      <c r="E424" s="1" t="n">
        <v>46252</v>
      </c>
      <c r="F424" t="inlineStr">
        <is>
          <t>KRONOBERGS LÄN</t>
        </is>
      </c>
      <c r="G424" t="inlineStr">
        <is>
          <t>ÄLMHULT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38823-2022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44816</v>
      </c>
      <c r="E425" s="1" t="n">
        <v>46252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45111</v>
      </c>
      <c r="E426" s="1" t="n">
        <v>46252</v>
      </c>
      <c r="F426" t="inlineStr">
        <is>
          <t>KRONOBERGS LÄN</t>
        </is>
      </c>
      <c r="G426" t="inlineStr">
        <is>
          <t>ÄLMHULT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45348</v>
      </c>
      <c r="E427" s="1" t="n">
        <v>46252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54363-2023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45233</v>
      </c>
      <c r="E428" s="1" t="n">
        <v>46252</v>
      </c>
      <c r="F428" t="inlineStr">
        <is>
          <t>KRONOBERGS LÄN</t>
        </is>
      </c>
      <c r="G428" t="inlineStr">
        <is>
          <t>ÄLMHULT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54364-2023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45233</v>
      </c>
      <c r="E429" s="1" t="n">
        <v>46252</v>
      </c>
      <c r="F429" t="inlineStr">
        <is>
          <t>KRONOBERGS LÄN</t>
        </is>
      </c>
      <c r="G429" t="inlineStr">
        <is>
          <t>ÄLMHULT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46252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46252</v>
      </c>
      <c r="F431" t="inlineStr">
        <is>
          <t>KRONOBERGS LÄN</t>
        </is>
      </c>
      <c r="G431" t="inlineStr">
        <is>
          <t>ÄLMHULT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46252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45435</v>
      </c>
      <c r="E433" s="1" t="n">
        <v>46252</v>
      </c>
      <c r="F433" t="inlineStr">
        <is>
          <t>KRONOBERGS LÄN</t>
        </is>
      </c>
      <c r="G433" t="inlineStr">
        <is>
          <t>ÄLMHULT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45435</v>
      </c>
      <c r="E434" s="1" t="n">
        <v>46252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20382-2024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45435</v>
      </c>
      <c r="E435" s="1" t="n">
        <v>46252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44911</v>
      </c>
      <c r="E436" s="1" t="n">
        <v>46252</v>
      </c>
      <c r="F436" t="inlineStr">
        <is>
          <t>KRONOBERGS LÄN</t>
        </is>
      </c>
      <c r="G436" t="inlineStr">
        <is>
          <t>ÄLMHULT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46252</v>
      </c>
      <c r="F437" t="inlineStr">
        <is>
          <t>KRONOBERGS LÄN</t>
        </is>
      </c>
      <c r="G437" t="inlineStr">
        <is>
          <t>ÄLMHULT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45748</v>
      </c>
      <c r="E438" s="1" t="n">
        <v>46252</v>
      </c>
      <c r="F438" t="inlineStr">
        <is>
          <t>KRONOBERGS LÄN</t>
        </is>
      </c>
      <c r="G438" t="inlineStr">
        <is>
          <t>ÄLMHULT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46226</v>
      </c>
      <c r="E439" s="1" t="n">
        <v>46252</v>
      </c>
      <c r="F439" t="inlineStr">
        <is>
          <t>KRONOBERGS LÄN</t>
        </is>
      </c>
      <c r="G439" t="inlineStr">
        <is>
          <t>ÄLMHULT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46227</v>
      </c>
      <c r="E440" s="1" t="n">
        <v>46252</v>
      </c>
      <c r="F440" t="inlineStr">
        <is>
          <t>KRONOBERGS LÄN</t>
        </is>
      </c>
      <c r="G440" t="inlineStr">
        <is>
          <t>ÄLMHULT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46252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46252</v>
      </c>
      <c r="F442" t="inlineStr">
        <is>
          <t>KRONOBERGS LÄN</t>
        </is>
      </c>
      <c r="G442" t="inlineStr">
        <is>
          <t>ÄLMHULT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46226</v>
      </c>
      <c r="E443" s="1" t="n">
        <v>46252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46226</v>
      </c>
      <c r="E444" s="1" t="n">
        <v>46252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46227</v>
      </c>
      <c r="E445" s="1" t="n">
        <v>46252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8102-2026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46063</v>
      </c>
      <c r="E446" s="1" t="n">
        <v>46252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46252</v>
      </c>
      <c r="F447" t="inlineStr">
        <is>
          <t>KRONOBERGS LÄN</t>
        </is>
      </c>
      <c r="G447" t="inlineStr">
        <is>
          <t>ÄLMHULT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45378</v>
      </c>
      <c r="E448" s="1" t="n">
        <v>46252</v>
      </c>
      <c r="F448" t="inlineStr">
        <is>
          <t>KRONOBERGS LÄN</t>
        </is>
      </c>
      <c r="G448" t="inlineStr">
        <is>
          <t>ÄLMHULT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7594-2026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46061</v>
      </c>
      <c r="E449" s="1" t="n">
        <v>46252</v>
      </c>
      <c r="F449" t="inlineStr">
        <is>
          <t>KRONOBERGS LÄN</t>
        </is>
      </c>
      <c r="G449" t="inlineStr">
        <is>
          <t>ÄLMHULT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34794-2023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45141</v>
      </c>
      <c r="E450" s="1" t="n">
        <v>46252</v>
      </c>
      <c r="F450" t="inlineStr">
        <is>
          <t>KRONOBERGS LÄN</t>
        </is>
      </c>
      <c r="G450" t="inlineStr">
        <is>
          <t>ÄLMHULT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46252</v>
      </c>
      <c r="F451" t="inlineStr">
        <is>
          <t>KRONOBERGS LÄN</t>
        </is>
      </c>
      <c r="G451" t="inlineStr">
        <is>
          <t>ÄLMHULT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46252</v>
      </c>
      <c r="F452" t="inlineStr">
        <is>
          <t>KRONOBERGS LÄN</t>
        </is>
      </c>
      <c r="G452" t="inlineStr">
        <is>
          <t>ÄLMHULT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44992</v>
      </c>
      <c r="E453" s="1" t="n">
        <v>46252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44992</v>
      </c>
      <c r="E454" s="1" t="n">
        <v>46252</v>
      </c>
      <c r="F454" t="inlineStr">
        <is>
          <t>KRONOBERGS LÄN</t>
        </is>
      </c>
      <c r="G454" t="inlineStr">
        <is>
          <t>ÄLMHULT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47425-2023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45202</v>
      </c>
      <c r="E455" s="1" t="n">
        <v>46252</v>
      </c>
      <c r="F455" t="inlineStr">
        <is>
          <t>KRONOBERGS LÄN</t>
        </is>
      </c>
      <c r="G455" t="inlineStr">
        <is>
          <t>ÄLMHULT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46252</v>
      </c>
      <c r="F456" t="inlineStr">
        <is>
          <t>KRONOBERGS LÄN</t>
        </is>
      </c>
      <c r="G456" t="inlineStr">
        <is>
          <t>ÄLMHULT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46252</v>
      </c>
      <c r="F457" t="inlineStr">
        <is>
          <t>KRONOBERGS LÄN</t>
        </is>
      </c>
      <c r="G457" t="inlineStr">
        <is>
          <t>ÄLMHULT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50183-2022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44865</v>
      </c>
      <c r="E458" s="1" t="n">
        <v>46252</v>
      </c>
      <c r="F458" t="inlineStr">
        <is>
          <t>KRONOBERGS LÄN</t>
        </is>
      </c>
      <c r="G458" t="inlineStr">
        <is>
          <t>ÄLMHULT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46252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44698</v>
      </c>
      <c r="E460" s="1" t="n">
        <v>46252</v>
      </c>
      <c r="F460" t="inlineStr">
        <is>
          <t>KRONOBERGS LÄN</t>
        </is>
      </c>
      <c r="G460" t="inlineStr">
        <is>
          <t>ÄLMHULT</t>
        </is>
      </c>
      <c r="I460" t="n">
        <v>11.9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45189</v>
      </c>
      <c r="E461" s="1" t="n">
        <v>46252</v>
      </c>
      <c r="F461" t="inlineStr">
        <is>
          <t>KRONOBERGS LÄN</t>
        </is>
      </c>
      <c r="G461" t="inlineStr">
        <is>
          <t>ÄLMHULT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30322-2025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45827</v>
      </c>
      <c r="E462" s="1" t="n">
        <v>46252</v>
      </c>
      <c r="F462" t="inlineStr">
        <is>
          <t>KRONOBERGS LÄN</t>
        </is>
      </c>
      <c r="G462" t="inlineStr">
        <is>
          <t>ÄLMHULT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45352</v>
      </c>
      <c r="E463" s="1" t="n">
        <v>46252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44687</v>
      </c>
      <c r="E464" s="1" t="n">
        <v>46252</v>
      </c>
      <c r="F464" t="inlineStr">
        <is>
          <t>KRONOBERGS LÄN</t>
        </is>
      </c>
      <c r="G464" t="inlineStr">
        <is>
          <t>ÄLMHULT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45467</v>
      </c>
      <c r="E465" s="1" t="n">
        <v>46252</v>
      </c>
      <c r="F465" t="inlineStr">
        <is>
          <t>KRONOBERGS LÄN</t>
        </is>
      </c>
      <c r="G465" t="inlineStr">
        <is>
          <t>ÄLMHULT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46252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46252</v>
      </c>
      <c r="F467" t="inlineStr">
        <is>
          <t>KRONOBERGS LÄN</t>
        </is>
      </c>
      <c r="G467" t="inlineStr">
        <is>
          <t>ÄLMHULT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45450</v>
      </c>
      <c r="E468" s="1" t="n">
        <v>46252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45253</v>
      </c>
      <c r="E469" s="1" t="n">
        <v>46252</v>
      </c>
      <c r="F469" t="inlineStr">
        <is>
          <t>KRONOBERGS LÄN</t>
        </is>
      </c>
      <c r="G469" t="inlineStr">
        <is>
          <t>ÄLMHULT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46252</v>
      </c>
      <c r="F470" t="inlineStr">
        <is>
          <t>KRONOBERGS LÄN</t>
        </is>
      </c>
      <c r="G470" t="inlineStr">
        <is>
          <t>ÄLMHULT</t>
        </is>
      </c>
      <c r="I470" t="n">
        <v>29.1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46252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45051</v>
      </c>
      <c r="E472" s="1" t="n">
        <v>46252</v>
      </c>
      <c r="F472" t="inlineStr">
        <is>
          <t>KRONOBERGS LÄN</t>
        </is>
      </c>
      <c r="G472" t="inlineStr">
        <is>
          <t>ÄLMHULT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50073-2023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46252</v>
      </c>
      <c r="F473" t="inlineStr">
        <is>
          <t>KRONOBERGS LÄN</t>
        </is>
      </c>
      <c r="G473" t="inlineStr">
        <is>
          <t>ÄLMHULT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46252</v>
      </c>
      <c r="F474" t="inlineStr">
        <is>
          <t>KRONOBERGS LÄN</t>
        </is>
      </c>
      <c r="G474" t="inlineStr">
        <is>
          <t>ÄLMHULT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44445-2024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46252</v>
      </c>
      <c r="F475" t="inlineStr">
        <is>
          <t>KRONOBERGS LÄN</t>
        </is>
      </c>
      <c r="G475" t="inlineStr">
        <is>
          <t>ÄLMHULT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46105</v>
      </c>
      <c r="E476" s="1" t="n">
        <v>46252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46252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46252</v>
      </c>
      <c r="F478" t="inlineStr">
        <is>
          <t>KRONOBERGS LÄN</t>
        </is>
      </c>
      <c r="G478" t="inlineStr">
        <is>
          <t>ÄLMHULT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46252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46252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46252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10.2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46252</v>
      </c>
      <c r="F482" t="inlineStr">
        <is>
          <t>KRONOBERGS LÄN</t>
        </is>
      </c>
      <c r="G482" t="inlineStr">
        <is>
          <t>ÄLMHULT</t>
        </is>
      </c>
      <c r="H482" t="inlineStr">
        <is>
          <t>Sveaskog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46252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46252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15.3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46252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46252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15859-2026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46252</v>
      </c>
      <c r="F487" t="inlineStr">
        <is>
          <t>KRONOBERGS LÄN</t>
        </is>
      </c>
      <c r="G487" t="inlineStr">
        <is>
          <t>ÄLMHULT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46252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46252</v>
      </c>
      <c r="F489" t="inlineStr">
        <is>
          <t>KRONOBERGS LÄN</t>
        </is>
      </c>
      <c r="G489" t="inlineStr">
        <is>
          <t>ÄLMHULT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45792</v>
      </c>
      <c r="E490" s="1" t="n">
        <v>46252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46252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46252</v>
      </c>
      <c r="F492" t="inlineStr">
        <is>
          <t>KRONOBERGS LÄN</t>
        </is>
      </c>
      <c r="G492" t="inlineStr">
        <is>
          <t>ÄLMHULT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48282-2022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46252</v>
      </c>
      <c r="F493" t="inlineStr">
        <is>
          <t>KRONOBERGS LÄN</t>
        </is>
      </c>
      <c r="G493" t="inlineStr">
        <is>
          <t>ÄLMHULT</t>
        </is>
      </c>
      <c r="I493" t="n">
        <v>14.2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37064-2024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45539</v>
      </c>
      <c r="E494" s="1" t="n">
        <v>46252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32126-2026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46234</v>
      </c>
      <c r="E495" s="1" t="n">
        <v>46252</v>
      </c>
      <c r="F495" t="inlineStr">
        <is>
          <t>KRONOBERGS LÄN</t>
        </is>
      </c>
      <c r="G495" t="inlineStr">
        <is>
          <t>ÄLMHULT</t>
        </is>
      </c>
      <c r="H495" t="inlineStr">
        <is>
          <t>Kommuner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45609</v>
      </c>
      <c r="E496" s="1" t="n">
        <v>46252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69444-2021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44531</v>
      </c>
      <c r="E497" s="1" t="n">
        <v>46252</v>
      </c>
      <c r="F497" t="inlineStr">
        <is>
          <t>KRONOBERGS LÄN</t>
        </is>
      </c>
      <c r="G497" t="inlineStr">
        <is>
          <t>ÄLMHULT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45049</v>
      </c>
      <c r="E498" s="1" t="n">
        <v>46252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45679</v>
      </c>
      <c r="E499" s="1" t="n">
        <v>46252</v>
      </c>
      <c r="F499" t="inlineStr">
        <is>
          <t>KRONOBERGS LÄN</t>
        </is>
      </c>
      <c r="G499" t="inlineStr">
        <is>
          <t>ÄLMHULT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46252</v>
      </c>
      <c r="F500" t="inlineStr">
        <is>
          <t>KRONOBERGS LÄN</t>
        </is>
      </c>
      <c r="G500" t="inlineStr">
        <is>
          <t>ÄLMHULT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69454-2021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44531</v>
      </c>
      <c r="E501" s="1" t="n">
        <v>46252</v>
      </c>
      <c r="F501" t="inlineStr">
        <is>
          <t>KRONOBERGS LÄN</t>
        </is>
      </c>
      <c r="G501" t="inlineStr">
        <is>
          <t>ÄLMHULT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46252</v>
      </c>
      <c r="F502" t="inlineStr">
        <is>
          <t>KRONOBERGS LÄN</t>
        </is>
      </c>
      <c r="G502" t="inlineStr">
        <is>
          <t>ÄLMHULT</t>
        </is>
      </c>
      <c r="I502" t="n">
        <v>11.5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22415-2024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45446</v>
      </c>
      <c r="E503" s="1" t="n">
        <v>46252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54105-2024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46252</v>
      </c>
      <c r="F504" t="inlineStr">
        <is>
          <t>KRONOBERGS LÄN</t>
        </is>
      </c>
      <c r="G504" t="inlineStr">
        <is>
          <t>ÄLMHULT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18702-2026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46128</v>
      </c>
      <c r="E505" s="1" t="n">
        <v>46252</v>
      </c>
      <c r="F505" t="inlineStr">
        <is>
          <t>KRONOBERGS LÄN</t>
        </is>
      </c>
      <c r="G505" t="inlineStr">
        <is>
          <t>ÄLMHULT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46252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46252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44587</v>
      </c>
      <c r="E508" s="1" t="n">
        <v>46252</v>
      </c>
      <c r="F508" t="inlineStr">
        <is>
          <t>KRONOBERGS LÄN</t>
        </is>
      </c>
      <c r="G508" t="inlineStr">
        <is>
          <t>ÄLMHULT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45770</v>
      </c>
      <c r="E509" s="1" t="n">
        <v>46252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44582</v>
      </c>
      <c r="E510" s="1" t="n">
        <v>46252</v>
      </c>
      <c r="F510" t="inlineStr">
        <is>
          <t>KRONOBERGS LÄN</t>
        </is>
      </c>
      <c r="G510" t="inlineStr">
        <is>
          <t>ÄLMHULT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45759</v>
      </c>
      <c r="E511" s="1" t="n">
        <v>46252</v>
      </c>
      <c r="F511" t="inlineStr">
        <is>
          <t>KRONOBERGS LÄN</t>
        </is>
      </c>
      <c r="G511" t="inlineStr">
        <is>
          <t>ÄLMHULT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46252</v>
      </c>
      <c r="F512" t="inlineStr">
        <is>
          <t>KRONOBERGS LÄN</t>
        </is>
      </c>
      <c r="G512" t="inlineStr">
        <is>
          <t>ÄLMHULT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46252</v>
      </c>
      <c r="F513" t="inlineStr">
        <is>
          <t>KRONOBERGS LÄN</t>
        </is>
      </c>
      <c r="G513" t="inlineStr">
        <is>
          <t>ÄLMHULT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59114-2022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46252</v>
      </c>
      <c r="F514" t="inlineStr">
        <is>
          <t>KRONOBERGS LÄN</t>
        </is>
      </c>
      <c r="G514" t="inlineStr">
        <is>
          <t>ÄLMHULT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46252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48145-2021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44449</v>
      </c>
      <c r="E516" s="1" t="n">
        <v>46252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46240</v>
      </c>
      <c r="E517" s="1" t="n">
        <v>46252</v>
      </c>
      <c r="F517" t="inlineStr">
        <is>
          <t>KRONOBERGS LÄN</t>
        </is>
      </c>
      <c r="G517" t="inlineStr">
        <is>
          <t>ÄLMHULT</t>
        </is>
      </c>
      <c r="H517" t="inlineStr">
        <is>
          <t>Kyrkan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46740-2024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45583</v>
      </c>
      <c r="E518" s="1" t="n">
        <v>46252</v>
      </c>
      <c r="F518" t="inlineStr">
        <is>
          <t>KRONOBERGS LÄN</t>
        </is>
      </c>
      <c r="G518" t="inlineStr">
        <is>
          <t>ÄLMHULT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46240</v>
      </c>
      <c r="E519" s="1" t="n">
        <v>46252</v>
      </c>
      <c r="F519" t="inlineStr">
        <is>
          <t>KRONOBERGS LÄN</t>
        </is>
      </c>
      <c r="G519" t="inlineStr">
        <is>
          <t>ÄLMHULT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46252</v>
      </c>
      <c r="F520" t="inlineStr">
        <is>
          <t>KRONOBERGS LÄN</t>
        </is>
      </c>
      <c r="G520" t="inlineStr">
        <is>
          <t>ÄLMHULT</t>
        </is>
      </c>
      <c r="H520" t="inlineStr">
        <is>
          <t>Kyrkan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46252</v>
      </c>
      <c r="F521" t="inlineStr">
        <is>
          <t>KRONOBERGS LÄN</t>
        </is>
      </c>
      <c r="G521" t="inlineStr">
        <is>
          <t>ÄLMHULT</t>
        </is>
      </c>
      <c r="H521" t="inlineStr">
        <is>
          <t>Kyrkan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45594</v>
      </c>
      <c r="E522" s="1" t="n">
        <v>46252</v>
      </c>
      <c r="F522" t="inlineStr">
        <is>
          <t>KRONOBERGS LÄN</t>
        </is>
      </c>
      <c r="G522" t="inlineStr">
        <is>
          <t>ÄLMHULT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45835</v>
      </c>
      <c r="E523" s="1" t="n">
        <v>46252</v>
      </c>
      <c r="F523" t="inlineStr">
        <is>
          <t>KRONOBERGS LÄN</t>
        </is>
      </c>
      <c r="G523" t="inlineStr">
        <is>
          <t>ÄLMHULT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61414-2025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46000</v>
      </c>
      <c r="E524" s="1" t="n">
        <v>46252</v>
      </c>
      <c r="F524" t="inlineStr">
        <is>
          <t>KRONOBERGS LÄN</t>
        </is>
      </c>
      <c r="G524" t="inlineStr">
        <is>
          <t>ÄLMHULT</t>
        </is>
      </c>
      <c r="H524" t="inlineStr">
        <is>
          <t>Kommuner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46252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15568-2024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45401</v>
      </c>
      <c r="E526" s="1" t="n">
        <v>46252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45167</v>
      </c>
      <c r="E527" s="1" t="n">
        <v>46252</v>
      </c>
      <c r="F527" t="inlineStr">
        <is>
          <t>KRONOBERGS LÄN</t>
        </is>
      </c>
      <c r="G527" t="inlineStr">
        <is>
          <t>ÄLMHULT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46252</v>
      </c>
      <c r="F528" t="inlineStr">
        <is>
          <t>KRONOBERGS LÄN</t>
        </is>
      </c>
      <c r="G528" t="inlineStr">
        <is>
          <t>ÄLMHULT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46252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26454-2023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45092</v>
      </c>
      <c r="E530" s="1" t="n">
        <v>46252</v>
      </c>
      <c r="F530" t="inlineStr">
        <is>
          <t>KRONOBERGS LÄN</t>
        </is>
      </c>
      <c r="G530" t="inlineStr">
        <is>
          <t>ÄLMHULT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28693-2023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45103</v>
      </c>
      <c r="E531" s="1" t="n">
        <v>46252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45722</v>
      </c>
      <c r="E532" s="1" t="n">
        <v>46252</v>
      </c>
      <c r="F532" t="inlineStr">
        <is>
          <t>KRONOBERGS LÄN</t>
        </is>
      </c>
      <c r="G532" t="inlineStr">
        <is>
          <t>ÄLMHULT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46252</v>
      </c>
      <c r="F533" t="inlineStr">
        <is>
          <t>KRONOBERGS LÄN</t>
        </is>
      </c>
      <c r="G533" t="inlineStr">
        <is>
          <t>ÄLMHULT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46202</v>
      </c>
      <c r="E534" s="1" t="n">
        <v>46252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46252</v>
      </c>
      <c r="F535" t="inlineStr">
        <is>
          <t>KRONOBERGS LÄN</t>
        </is>
      </c>
      <c r="G535" t="inlineStr">
        <is>
          <t>ÄLMHULT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46252</v>
      </c>
      <c r="F536" t="inlineStr">
        <is>
          <t>KRONOBERGS LÄN</t>
        </is>
      </c>
      <c r="G536" t="inlineStr">
        <is>
          <t>ÄLMHULT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45630</v>
      </c>
      <c r="E537" s="1" t="n">
        <v>46252</v>
      </c>
      <c r="F537" t="inlineStr">
        <is>
          <t>KRONOBERGS LÄN</t>
        </is>
      </c>
      <c r="G537" t="inlineStr">
        <is>
          <t>ÄLMHULT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30370-2022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44760</v>
      </c>
      <c r="E538" s="1" t="n">
        <v>46252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68189-2021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44526</v>
      </c>
      <c r="E539" s="1" t="n">
        <v>46252</v>
      </c>
      <c r="F539" t="inlineStr">
        <is>
          <t>KRONOBERGS LÄN</t>
        </is>
      </c>
      <c r="G539" t="inlineStr">
        <is>
          <t>ÄLMHULT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45268</v>
      </c>
      <c r="E540" s="1" t="n">
        <v>46252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45733</v>
      </c>
      <c r="E541" s="1" t="n">
        <v>46252</v>
      </c>
      <c r="F541" t="inlineStr">
        <is>
          <t>KRONOBERGS LÄN</t>
        </is>
      </c>
      <c r="G541" t="inlineStr">
        <is>
          <t>ÄLMHULT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46252</v>
      </c>
      <c r="F542" t="inlineStr">
        <is>
          <t>KRONOBERGS LÄN</t>
        </is>
      </c>
      <c r="G542" t="inlineStr">
        <is>
          <t>ÄLMHULT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46252</v>
      </c>
      <c r="F543" t="inlineStr">
        <is>
          <t>KRONOBERGS LÄN</t>
        </is>
      </c>
      <c r="G543" t="inlineStr">
        <is>
          <t>ÄLMHULT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56846-2023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45244</v>
      </c>
      <c r="E544" s="1" t="n">
        <v>46252</v>
      </c>
      <c r="F544" t="inlineStr">
        <is>
          <t>KRONOBERGS LÄN</t>
        </is>
      </c>
      <c r="G544" t="inlineStr">
        <is>
          <t>ÄLMHULT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19704-2023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45051</v>
      </c>
      <c r="E545" s="1" t="n">
        <v>46252</v>
      </c>
      <c r="F545" t="inlineStr">
        <is>
          <t>KRONOBERGS LÄN</t>
        </is>
      </c>
      <c r="G545" t="inlineStr">
        <is>
          <t>ÄLMHULT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36545-2024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46252</v>
      </c>
      <c r="F546" t="inlineStr">
        <is>
          <t>KRONOBERGS LÄN</t>
        </is>
      </c>
      <c r="G546" t="inlineStr">
        <is>
          <t>ÄLMHULT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46252</v>
      </c>
      <c r="F547" t="inlineStr">
        <is>
          <t>KRONOBERGS LÄN</t>
        </is>
      </c>
      <c r="G547" t="inlineStr">
        <is>
          <t>ÄLMHULT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46252</v>
      </c>
      <c r="F548" t="inlineStr">
        <is>
          <t>KRONOBERGS LÄN</t>
        </is>
      </c>
      <c r="G548" t="inlineStr">
        <is>
          <t>ÄLMHULT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46252</v>
      </c>
      <c r="F549" t="inlineStr">
        <is>
          <t>KRONOBERGS LÄN</t>
        </is>
      </c>
      <c r="G549" t="inlineStr">
        <is>
          <t>ÄLMHULT</t>
        </is>
      </c>
      <c r="H549" t="inlineStr">
        <is>
          <t>Kyrkan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46252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44921</v>
      </c>
      <c r="E551" s="1" t="n">
        <v>46252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45911</v>
      </c>
      <c r="E552" s="1" t="n">
        <v>46252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46252</v>
      </c>
      <c r="F553" t="inlineStr">
        <is>
          <t>KRONOBERGS LÄN</t>
        </is>
      </c>
      <c r="G553" t="inlineStr">
        <is>
          <t>ÄLMHULT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44568</v>
      </c>
      <c r="E554" s="1" t="n">
        <v>46252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38730-2025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46252</v>
      </c>
      <c r="F555" t="inlineStr">
        <is>
          <t>KRONOBERGS LÄN</t>
        </is>
      </c>
      <c r="G555" t="inlineStr">
        <is>
          <t>ÄLMHULT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35627-2024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45531</v>
      </c>
      <c r="E556" s="1" t="n">
        <v>46252</v>
      </c>
      <c r="F556" t="inlineStr">
        <is>
          <t>KRONOBERGS LÄN</t>
        </is>
      </c>
      <c r="G556" t="inlineStr">
        <is>
          <t>ÄLMHULT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11782-2022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44634</v>
      </c>
      <c r="E557" s="1" t="n">
        <v>46252</v>
      </c>
      <c r="F557" t="inlineStr">
        <is>
          <t>KRONOBERGS LÄN</t>
        </is>
      </c>
      <c r="G557" t="inlineStr">
        <is>
          <t>ÄLMHULT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46252</v>
      </c>
      <c r="F558" t="inlineStr">
        <is>
          <t>KRONOBERGS LÄN</t>
        </is>
      </c>
      <c r="G558" t="inlineStr">
        <is>
          <t>ÄLMHULT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46252</v>
      </c>
      <c r="F559" t="inlineStr">
        <is>
          <t>KRONOBERGS LÄN</t>
        </is>
      </c>
      <c r="G559" t="inlineStr">
        <is>
          <t>ÄLMHULT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46252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4747-2022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44592</v>
      </c>
      <c r="E561" s="1" t="n">
        <v>46252</v>
      </c>
      <c r="F561" t="inlineStr">
        <is>
          <t>KRONOBERGS LÄN</t>
        </is>
      </c>
      <c r="G561" t="inlineStr">
        <is>
          <t>ÄLMHULT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46252</v>
      </c>
      <c r="F562" t="inlineStr">
        <is>
          <t>KRONOBERGS LÄN</t>
        </is>
      </c>
      <c r="G562" t="inlineStr">
        <is>
          <t>ÄLMHULT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46252</v>
      </c>
      <c r="F563" t="inlineStr">
        <is>
          <t>KRONOBERGS LÄN</t>
        </is>
      </c>
      <c r="G563" t="inlineStr">
        <is>
          <t>ÄLMHULT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31872-2022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44777</v>
      </c>
      <c r="E564" s="1" t="n">
        <v>46252</v>
      </c>
      <c r="F564" t="inlineStr">
        <is>
          <t>KRONOBERGS LÄN</t>
        </is>
      </c>
      <c r="G564" t="inlineStr">
        <is>
          <t>ÄLMHULT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46246</v>
      </c>
      <c r="E565" s="1" t="n">
        <v>46252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46247</v>
      </c>
      <c r="E566" s="1" t="n">
        <v>46252</v>
      </c>
      <c r="F566" t="inlineStr">
        <is>
          <t>KRONOBERGS LÄN</t>
        </is>
      </c>
      <c r="G566" t="inlineStr">
        <is>
          <t>ÄLMHULT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44942</v>
      </c>
      <c r="E567" s="1" t="n">
        <v>46252</v>
      </c>
      <c r="F567" t="inlineStr">
        <is>
          <t>KRONOBERGS LÄN</t>
        </is>
      </c>
      <c r="G567" t="inlineStr">
        <is>
          <t>ÄLMHULT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44942</v>
      </c>
      <c r="E568" s="1" t="n">
        <v>46252</v>
      </c>
      <c r="F568" t="inlineStr">
        <is>
          <t>KRONOBERGS LÄN</t>
        </is>
      </c>
      <c r="G568" t="inlineStr">
        <is>
          <t>ÄLMHULT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63115-2023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45273</v>
      </c>
      <c r="E569" s="1" t="n">
        <v>46252</v>
      </c>
      <c r="F569" t="inlineStr">
        <is>
          <t>KRONOBERGS LÄN</t>
        </is>
      </c>
      <c r="G569" t="inlineStr">
        <is>
          <t>ÄLMHULT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46252</v>
      </c>
      <c r="F570" t="inlineStr">
        <is>
          <t>KRONOBERGS LÄN</t>
        </is>
      </c>
      <c r="G570" t="inlineStr">
        <is>
          <t>ÄLMHULT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46252</v>
      </c>
      <c r="F571" t="inlineStr">
        <is>
          <t>KRONOBERGS LÄN</t>
        </is>
      </c>
      <c r="G571" t="inlineStr">
        <is>
          <t>ÄLMHULT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46252</v>
      </c>
      <c r="F572" t="inlineStr">
        <is>
          <t>KRONOBERGS LÄN</t>
        </is>
      </c>
      <c r="G572" t="inlineStr">
        <is>
          <t>ÄLMHULT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45497</v>
      </c>
      <c r="E573" s="1" t="n">
        <v>46252</v>
      </c>
      <c r="F573" t="inlineStr">
        <is>
          <t>KRONOBERGS LÄN</t>
        </is>
      </c>
      <c r="G573" t="inlineStr">
        <is>
          <t>ÄLMHULT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50540-2023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45217</v>
      </c>
      <c r="E574" s="1" t="n">
        <v>46252</v>
      </c>
      <c r="F574" t="inlineStr">
        <is>
          <t>KRONOBERGS LÄN</t>
        </is>
      </c>
      <c r="G574" t="inlineStr">
        <is>
          <t>ÄLMHULT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46252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44621</v>
      </c>
      <c r="E576" s="1" t="n">
        <v>46252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62172-2022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44922</v>
      </c>
      <c r="E577" s="1" t="n">
        <v>46252</v>
      </c>
      <c r="F577" t="inlineStr">
        <is>
          <t>KRONOBERGS LÄN</t>
        </is>
      </c>
      <c r="G577" t="inlineStr">
        <is>
          <t>ÄLMHULT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45169</v>
      </c>
      <c r="E578" s="1" t="n">
        <v>46252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46252</v>
      </c>
      <c r="F579" t="inlineStr">
        <is>
          <t>KRONOBERGS LÄN</t>
        </is>
      </c>
      <c r="G579" t="inlineStr">
        <is>
          <t>ÄLMHULT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49112-2022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44860</v>
      </c>
      <c r="E580" s="1" t="n">
        <v>46252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45154</v>
      </c>
      <c r="E581" s="1" t="n">
        <v>46252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46252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12112-2022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44636</v>
      </c>
      <c r="E583" s="1" t="n">
        <v>46252</v>
      </c>
      <c r="F583" t="inlineStr">
        <is>
          <t>KRONOBERGS LÄN</t>
        </is>
      </c>
      <c r="G583" t="inlineStr">
        <is>
          <t>ÄLMHULT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68552-2021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44529</v>
      </c>
      <c r="E584" s="1" t="n">
        <v>46252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46252</v>
      </c>
      <c r="F585" t="inlineStr">
        <is>
          <t>KRONOBERGS LÄN</t>
        </is>
      </c>
      <c r="G585" t="inlineStr">
        <is>
          <t>ÄLMHULT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21384-2026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46252</v>
      </c>
      <c r="F586" t="inlineStr">
        <is>
          <t>KRONOBERGS LÄN</t>
        </is>
      </c>
      <c r="G586" t="inlineStr">
        <is>
          <t>ÄLMHULT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63569-2021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44508</v>
      </c>
      <c r="E587" s="1" t="n">
        <v>46252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44858</v>
      </c>
      <c r="E588" s="1" t="n">
        <v>46252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46252</v>
      </c>
      <c r="F589" t="inlineStr">
        <is>
          <t>KRONOBERGS LÄN</t>
        </is>
      </c>
      <c r="G589" t="inlineStr">
        <is>
          <t>ÄLMHULT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45663</v>
      </c>
      <c r="E590" s="1" t="n">
        <v>46252</v>
      </c>
      <c r="F590" t="inlineStr">
        <is>
          <t>KRONOBERGS LÄN</t>
        </is>
      </c>
      <c r="G590" t="inlineStr">
        <is>
          <t>ÄLMHULT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33893-2026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46252</v>
      </c>
      <c r="F591" t="inlineStr">
        <is>
          <t>KRONOBERGS LÄN</t>
        </is>
      </c>
      <c r="G591" t="inlineStr">
        <is>
          <t>ÄLMHULT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20747-2026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46252</v>
      </c>
      <c r="F592" t="inlineStr">
        <is>
          <t>KRONOBERGS LÄN</t>
        </is>
      </c>
      <c r="G592" t="inlineStr">
        <is>
          <t>ÄLMHULT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56266-2024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45624</v>
      </c>
      <c r="E593" s="1" t="n">
        <v>46252</v>
      </c>
      <c r="F593" t="inlineStr">
        <is>
          <t>KRONOBERGS LÄN</t>
        </is>
      </c>
      <c r="G593" t="inlineStr">
        <is>
          <t>ÄLMHULT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45781</v>
      </c>
      <c r="E594" s="1" t="n">
        <v>46252</v>
      </c>
      <c r="F594" t="inlineStr">
        <is>
          <t>KRONOBERGS LÄN</t>
        </is>
      </c>
      <c r="G594" t="inlineStr">
        <is>
          <t>ÄLMHULT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16320-2024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45407</v>
      </c>
      <c r="E595" s="1" t="n">
        <v>46252</v>
      </c>
      <c r="F595" t="inlineStr">
        <is>
          <t>KRONOBERGS LÄN</t>
        </is>
      </c>
      <c r="G595" t="inlineStr">
        <is>
          <t>ÄLMHULT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46252</v>
      </c>
      <c r="F596" t="inlineStr">
        <is>
          <t>KRONOBERGS LÄN</t>
        </is>
      </c>
      <c r="G596" t="inlineStr">
        <is>
          <t>ÄLMHULT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46252</v>
      </c>
      <c r="F597" t="inlineStr">
        <is>
          <t>KRONOBERGS LÄN</t>
        </is>
      </c>
      <c r="G597" t="inlineStr">
        <is>
          <t>ÄLMHULT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46252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46252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46252</v>
      </c>
      <c r="F600" t="inlineStr">
        <is>
          <t>KRONOBERGS LÄN</t>
        </is>
      </c>
      <c r="G600" t="inlineStr">
        <is>
          <t>ÄLMHULT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46252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46252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59454-2024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45638</v>
      </c>
      <c r="E603" s="1" t="n">
        <v>46252</v>
      </c>
      <c r="F603" t="inlineStr">
        <is>
          <t>KRONOBERGS LÄN</t>
        </is>
      </c>
      <c r="G603" t="inlineStr">
        <is>
          <t>ÄLMHULT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45818</v>
      </c>
      <c r="E604" s="1" t="n">
        <v>46252</v>
      </c>
      <c r="F604" t="inlineStr">
        <is>
          <t>KRONOBERGS LÄN</t>
        </is>
      </c>
      <c r="G604" t="inlineStr">
        <is>
          <t>ÄLMHULT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46252</v>
      </c>
      <c r="F605" t="inlineStr">
        <is>
          <t>KRONOBERGS LÄN</t>
        </is>
      </c>
      <c r="G605" t="inlineStr">
        <is>
          <t>ÄLMHULT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46252</v>
      </c>
      <c r="F606" t="inlineStr">
        <is>
          <t>KRONOBERGS LÄN</t>
        </is>
      </c>
      <c r="G606" t="inlineStr">
        <is>
          <t>ÄLMHULT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46252</v>
      </c>
      <c r="F607" t="inlineStr">
        <is>
          <t>KRONOBERGS LÄN</t>
        </is>
      </c>
      <c r="G607" t="inlineStr">
        <is>
          <t>ÄLMHULT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24722-2025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45799</v>
      </c>
      <c r="E608" s="1" t="n">
        <v>46252</v>
      </c>
      <c r="F608" t="inlineStr">
        <is>
          <t>KRONOBERGS LÄN</t>
        </is>
      </c>
      <c r="G608" t="inlineStr">
        <is>
          <t>ÄLMHULT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24248-2026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46252</v>
      </c>
      <c r="F609" t="inlineStr">
        <is>
          <t>KRONOBERGS LÄN</t>
        </is>
      </c>
      <c r="G609" t="inlineStr">
        <is>
          <t>ÄLMHULT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45405</v>
      </c>
      <c r="E610" s="1" t="n">
        <v>46252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64618-2021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44511</v>
      </c>
      <c r="E611" s="1" t="n">
        <v>46252</v>
      </c>
      <c r="F611" t="inlineStr">
        <is>
          <t>KRONOBERGS LÄN</t>
        </is>
      </c>
      <c r="G611" t="inlineStr">
        <is>
          <t>ÄLMHULT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64624-2021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44511</v>
      </c>
      <c r="E612" s="1" t="n">
        <v>46252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45702</v>
      </c>
      <c r="E613" s="1" t="n">
        <v>46252</v>
      </c>
      <c r="F613" t="inlineStr">
        <is>
          <t>KRONOBERGS LÄN</t>
        </is>
      </c>
      <c r="G613" t="inlineStr">
        <is>
          <t>ÄLMHULT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48026-2024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46252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45460</v>
      </c>
      <c r="E615" s="1" t="n">
        <v>46252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45663</v>
      </c>
      <c r="E616" s="1" t="n">
        <v>46252</v>
      </c>
      <c r="F616" t="inlineStr">
        <is>
          <t>KRONOBERGS LÄN</t>
        </is>
      </c>
      <c r="G616" t="inlineStr">
        <is>
          <t>ÄLMHULT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31080-2026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46252</v>
      </c>
      <c r="F617" t="inlineStr">
        <is>
          <t>KRONOBERGS LÄN</t>
        </is>
      </c>
      <c r="G617" t="inlineStr">
        <is>
          <t>ÄLMHULT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46216</v>
      </c>
      <c r="E618" s="1" t="n">
        <v>46252</v>
      </c>
      <c r="F618" t="inlineStr">
        <is>
          <t>KRONOBERGS LÄN</t>
        </is>
      </c>
      <c r="G618" t="inlineStr">
        <is>
          <t>ÄLMHULT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50805-2025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45946</v>
      </c>
      <c r="E619" s="1" t="n">
        <v>46252</v>
      </c>
      <c r="F619" t="inlineStr">
        <is>
          <t>KRONOBERGS LÄN</t>
        </is>
      </c>
      <c r="G619" t="inlineStr">
        <is>
          <t>ÄLMHULT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46216</v>
      </c>
      <c r="E620" s="1" t="n">
        <v>46252</v>
      </c>
      <c r="F620" t="inlineStr">
        <is>
          <t>KRONOBERGS LÄN</t>
        </is>
      </c>
      <c r="G620" t="inlineStr">
        <is>
          <t>ÄLMHULT</t>
        </is>
      </c>
      <c r="H620" t="inlineStr">
        <is>
          <t>Sveaskog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45804</v>
      </c>
      <c r="E621" s="1" t="n">
        <v>46252</v>
      </c>
      <c r="F621" t="inlineStr">
        <is>
          <t>KRONOBERGS LÄN</t>
        </is>
      </c>
      <c r="G621" t="inlineStr">
        <is>
          <t>ÄLMHULT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31112-2026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46216</v>
      </c>
      <c r="E622" s="1" t="n">
        <v>46252</v>
      </c>
      <c r="F622" t="inlineStr">
        <is>
          <t>KRONOBERGS LÄN</t>
        </is>
      </c>
      <c r="G622" t="inlineStr">
        <is>
          <t>ÄLMHULT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43467-2025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45911</v>
      </c>
      <c r="E623" s="1" t="n">
        <v>46252</v>
      </c>
      <c r="F623" t="inlineStr">
        <is>
          <t>KRONOBERGS LÄN</t>
        </is>
      </c>
      <c r="G623" t="inlineStr">
        <is>
          <t>ÄLMHULT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46216</v>
      </c>
      <c r="E624" s="1" t="n">
        <v>46252</v>
      </c>
      <c r="F624" t="inlineStr">
        <is>
          <t>KRONOBERGS LÄN</t>
        </is>
      </c>
      <c r="G624" t="inlineStr">
        <is>
          <t>ÄLMHULT</t>
        </is>
      </c>
      <c r="H624" t="inlineStr">
        <is>
          <t>Sveaskog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46252</v>
      </c>
      <c r="F625" t="inlineStr">
        <is>
          <t>KRONOBERGS LÄN</t>
        </is>
      </c>
      <c r="G625" t="inlineStr">
        <is>
          <t>ÄLMHULT</t>
        </is>
      </c>
      <c r="H625" t="inlineStr">
        <is>
          <t>Sveaskog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6219-2021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44447</v>
      </c>
      <c r="E626" s="1" t="n">
        <v>46252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1420-2022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44634</v>
      </c>
      <c r="E627" s="1" t="n">
        <v>46252</v>
      </c>
      <c r="F627" t="inlineStr">
        <is>
          <t>KRONOBERGS LÄN</t>
        </is>
      </c>
      <c r="G627" t="inlineStr">
        <is>
          <t>ÄLMHULT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1835-2022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44658</v>
      </c>
      <c r="E628" s="1" t="n">
        <v>46252</v>
      </c>
      <c r="F628" t="inlineStr">
        <is>
          <t>KRONOBERGS LÄN</t>
        </is>
      </c>
      <c r="G628" t="inlineStr">
        <is>
          <t>ÄLMHULT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1203-2022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44621</v>
      </c>
      <c r="E629" s="1" t="n">
        <v>46252</v>
      </c>
      <c r="F629" t="inlineStr">
        <is>
          <t>KRONOBERGS LÄN</t>
        </is>
      </c>
      <c r="G629" t="inlineStr">
        <is>
          <t>ÄLMHULT</t>
        </is>
      </c>
      <c r="I629" t="n">
        <v>44.9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7500-2021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44474</v>
      </c>
      <c r="E630" s="1" t="n">
        <v>46252</v>
      </c>
      <c r="F630" t="inlineStr">
        <is>
          <t>KRONOBERGS LÄN</t>
        </is>
      </c>
      <c r="G630" t="inlineStr">
        <is>
          <t>ÄLMHULT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901-2022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44607</v>
      </c>
      <c r="E631" s="1" t="n">
        <v>46252</v>
      </c>
      <c r="F631" t="inlineStr">
        <is>
          <t>KRONOBERGS LÄN</t>
        </is>
      </c>
      <c r="G631" t="inlineStr">
        <is>
          <t>ÄLMHULT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3507-2022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44733</v>
      </c>
      <c r="E632" s="1" t="n">
        <v>46252</v>
      </c>
      <c r="F632" t="inlineStr">
        <is>
          <t>KRONOBERGS LÄN</t>
        </is>
      </c>
      <c r="G632" t="inlineStr">
        <is>
          <t>ÄLMHULT</t>
        </is>
      </c>
      <c r="H632" t="inlineStr">
        <is>
          <t>Kyrkan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106-2024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45302</v>
      </c>
      <c r="E633" s="1" t="n">
        <v>46252</v>
      </c>
      <c r="F633" t="inlineStr">
        <is>
          <t>KRONOBERGS LÄN</t>
        </is>
      </c>
      <c r="G633" t="inlineStr">
        <is>
          <t>ÄLMHULT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2570-2024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45476</v>
      </c>
      <c r="E634" s="1" t="n">
        <v>46252</v>
      </c>
      <c r="F634" t="inlineStr">
        <is>
          <t>KRONOBERGS LÄN</t>
        </is>
      </c>
      <c r="G634" t="inlineStr">
        <is>
          <t>ÄLMHULT</t>
        </is>
      </c>
      <c r="I634" t="n">
        <v>27.8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5163-2024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45649</v>
      </c>
      <c r="E635" s="1" t="n">
        <v>46252</v>
      </c>
      <c r="F635" t="inlineStr">
        <is>
          <t>KRONOBERGS LÄN</t>
        </is>
      </c>
      <c r="G635" t="inlineStr">
        <is>
          <t>ÄLMHULT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45728</v>
      </c>
      <c r="E636" s="1" t="n">
        <v>46252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3003-2025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45953</v>
      </c>
      <c r="E637" s="1" t="n">
        <v>46252</v>
      </c>
      <c r="F637" t="inlineStr">
        <is>
          <t>KRONOBERGS LÄN</t>
        </is>
      </c>
      <c r="G637" t="inlineStr">
        <is>
          <t>ÄLMHULT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3102-2025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45967</v>
      </c>
      <c r="E638" s="1" t="n">
        <v>46252</v>
      </c>
      <c r="F638" t="inlineStr">
        <is>
          <t>KRONOBERGS LÄN</t>
        </is>
      </c>
      <c r="G638" t="inlineStr">
        <is>
          <t>ÄLMHULT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3553-2025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46252</v>
      </c>
      <c r="F639" t="inlineStr">
        <is>
          <t>KRONOBERGS LÄN</t>
        </is>
      </c>
      <c r="G639" t="inlineStr">
        <is>
          <t>ÄLMHULT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3552-2025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46010</v>
      </c>
      <c r="E640" s="1" t="n">
        <v>46252</v>
      </c>
      <c r="F640" t="inlineStr">
        <is>
          <t>KRONOBERGS LÄN</t>
        </is>
      </c>
      <c r="G640" t="inlineStr">
        <is>
          <t>ÄLMHULT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37-2026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46029</v>
      </c>
      <c r="E641" s="1" t="n">
        <v>46252</v>
      </c>
      <c r="F641" t="inlineStr">
        <is>
          <t>KRONOBERGS LÄN</t>
        </is>
      </c>
      <c r="G641" t="inlineStr">
        <is>
          <t>ÄLMHULT</t>
        </is>
      </c>
      <c r="H641" t="inlineStr">
        <is>
          <t>Sveaskog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532-2026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46079</v>
      </c>
      <c r="E642" s="1" t="n">
        <v>46252</v>
      </c>
      <c r="F642" t="inlineStr">
        <is>
          <t>KRONOBERGS LÄN</t>
        </is>
      </c>
      <c r="G642" t="inlineStr">
        <is>
          <t>ÄLMHULT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743-2026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46094</v>
      </c>
      <c r="E643" s="1" t="n">
        <v>46252</v>
      </c>
      <c r="F643" t="inlineStr">
        <is>
          <t>KRONOBERGS LÄN</t>
        </is>
      </c>
      <c r="G643" t="inlineStr">
        <is>
          <t>ÄLMHULT</t>
        </is>
      </c>
      <c r="I643" t="n">
        <v>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986-2026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46119</v>
      </c>
      <c r="E644" s="1" t="n">
        <v>46252</v>
      </c>
      <c r="F644" t="inlineStr">
        <is>
          <t>KRONOBERGS LÄN</t>
        </is>
      </c>
      <c r="G644" t="inlineStr">
        <is>
          <t>ÄLMHULT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2141-2026</t>
        </is>
      </c>
      <c r="B645" t="inlineStr">
        <is>
          <t>samrådsanmälan</t>
        </is>
      </c>
      <c r="C645" t="inlineStr">
        <is>
          <t>Skogsbilväg</t>
        </is>
      </c>
      <c r="D645" s="1" t="n">
        <v>46182</v>
      </c>
      <c r="E645" s="1" t="n">
        <v>46252</v>
      </c>
      <c r="F645" t="inlineStr">
        <is>
          <t>KRONOBERGS LÄN</t>
        </is>
      </c>
      <c r="G645" t="inlineStr">
        <is>
          <t>ÄLMHULT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2026-08-18T01:50:27Z</dcterms:created>
  <dcterms:modified xmlns:dcterms="http://purl.org/dc/terms/" xmlns:xsi="http://www.w3.org/2001/XMLSchema-instance" xsi:type="dcterms:W3CDTF">2026-08-18T01:50:28Z</dcterms:modified>
</cp:coreProperties>
</file>