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46242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46242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46242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46242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46242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46242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46242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46242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46242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46242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46242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46242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46242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46242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46242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46242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41419-2021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46242</v>
      </c>
      <c r="F20" t="inlineStr">
        <is>
          <t>KRONOBERGS LÄN</t>
        </is>
      </c>
      <c r="G20" t="inlineStr">
        <is>
          <t>ÄLMHULT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Sommarfibbla</t>
        </is>
      </c>
      <c r="W20">
        <f>HYPERLINK("https://klasma.github.io/Logging_0765/artfynd/A 41419-2021 artfynd.xlsx", "A 41419-2021")</f>
        <v/>
      </c>
      <c r="X20">
        <f>HYPERLINK("https://klasma.github.io/Logging_0765/kartor/A 41419-2021 karta.png", "A 41419-2021")</f>
        <v/>
      </c>
      <c r="Y20">
        <f>HYPERLINK("https://klasma.github.io/Logging_0765/kartor_geotiff/A 41419-2021 georefererad karta.tif", "A 41419-2021")</f>
        <v/>
      </c>
      <c r="AA20">
        <f>HYPERLINK("https://klasma.github.io/Logging_0765/klagomål/A 41419-2021 FSC-klagomål.docx", "A 41419-2021")</f>
        <v/>
      </c>
      <c r="AB20">
        <f>HYPERLINK("https://klasma.github.io/Logging_0765/klagomålsmail/A 41419-2021 FSC-klagomål mail.docx", "A 41419-2021")</f>
        <v/>
      </c>
      <c r="AC20">
        <f>HYPERLINK("https://klasma.github.io/Logging_0765/tillsyn/A 41419-2021 tillsynsbegäran.docx", "A 41419-2021")</f>
        <v/>
      </c>
      <c r="AD20">
        <f>HYPERLINK("https://klasma.github.io/Logging_0765/tillsynsmail/A 41419-2021 tillsynsbegäran mail.docx", "A 41419-2021")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46242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46242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46242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46242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46242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46242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46242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18747-2025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45763</v>
      </c>
      <c r="E28" s="1" t="n">
        <v>46242</v>
      </c>
      <c r="F28" t="inlineStr">
        <is>
          <t>KRONOBERGS LÄN</t>
        </is>
      </c>
      <c r="G28" t="inlineStr">
        <is>
          <t>ÄLMHULT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HYPERLINK("https://klasma.github.io/Logging_0765/artfynd/A 18747-2025 artfynd.xlsx", "A 18747-2025")</f>
        <v/>
      </c>
      <c r="X28">
        <f>HYPERLINK("https://klasma.github.io/Logging_0765/kartor/A 18747-2025 karta.png", "A 18747-2025")</f>
        <v/>
      </c>
      <c r="Y28">
        <f>HYPERLINK("https://klasma.github.io/Logging_0765/kartor_geotiff/A 18747-2025 georefererad karta.tif", "A 18747-2025")</f>
        <v/>
      </c>
      <c r="AA28">
        <f>HYPERLINK("https://klasma.github.io/Logging_0765/klagomål/A 18747-2025 FSC-klagomål.docx", "A 18747-2025")</f>
        <v/>
      </c>
      <c r="AB28">
        <f>HYPERLINK("https://klasma.github.io/Logging_0765/klagomålsmail/A 18747-2025 FSC-klagomål mail.docx", "A 18747-2025")</f>
        <v/>
      </c>
      <c r="AC28">
        <f>HYPERLINK("https://klasma.github.io/Logging_0765/tillsyn/A 18747-2025 tillsynsbegäran.docx", "A 18747-2025")</f>
        <v/>
      </c>
      <c r="AD28">
        <f>HYPERLINK("https://klasma.github.io/Logging_0765/tillsynsmail/A 18747-2025 tillsynsbegäran mail.docx", "A 18747-2025")</f>
        <v/>
      </c>
    </row>
    <row r="29" ht="15" customHeight="1">
      <c r="A29" t="inlineStr">
        <is>
          <t>A 35531-2025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45856</v>
      </c>
      <c r="E29" s="1" t="n">
        <v>46242</v>
      </c>
      <c r="F29" t="inlineStr">
        <is>
          <t>KRONOBERGS LÄN</t>
        </is>
      </c>
      <c r="G29" t="inlineStr">
        <is>
          <t>ÄLMHULT</t>
        </is>
      </c>
      <c r="I29" t="n">
        <v>5.2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HYPERLINK("https://klasma.github.io/Logging_0765/artfynd/A 35531-2025 artfynd.xlsx", "A 35531-2025")</f>
        <v/>
      </c>
      <c r="X29">
        <f>HYPERLINK("https://klasma.github.io/Logging_0765/kartor/A 35531-2025 karta.png", "A 35531-2025")</f>
        <v/>
      </c>
      <c r="Y29">
        <f>HYPERLINK("https://klasma.github.io/Logging_0765/kartor_geotiff/A 35531-2025 georefererad karta.tif", "A 35531-2025")</f>
        <v/>
      </c>
      <c r="AA29">
        <f>HYPERLINK("https://klasma.github.io/Logging_0765/klagomål/A 35531-2025 FSC-klagomål.docx", "A 35531-2025")</f>
        <v/>
      </c>
      <c r="AB29">
        <f>HYPERLINK("https://klasma.github.io/Logging_0765/klagomålsmail/A 35531-2025 FSC-klagomål mail.docx", "A 35531-2025")</f>
        <v/>
      </c>
      <c r="AC29">
        <f>HYPERLINK("https://klasma.github.io/Logging_0765/tillsyn/A 35531-2025 tillsynsbegäran.docx", "A 35531-2025")</f>
        <v/>
      </c>
      <c r="AD29">
        <f>HYPERLINK("https://klasma.github.io/Logging_0765/tillsynsmail/A 35531-2025 tillsynsbegäran mail.docx", "A 35531-2025")</f>
        <v/>
      </c>
      <c r="AE29">
        <f>HYPERLINK("https://klasma.github.io/Logging_0765/fåglar/A 35531-2025 prioriterade fågelarter.docx", "A 35531-2025")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46242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13196-2024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45386</v>
      </c>
      <c r="E31" s="1" t="n">
        <v>46242</v>
      </c>
      <c r="F31" t="inlineStr">
        <is>
          <t>KRONOBERGS LÄN</t>
        </is>
      </c>
      <c r="G31" t="inlineStr">
        <is>
          <t>ÄLMHULT</t>
        </is>
      </c>
      <c r="I31" t="n">
        <v>1.5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Tofsvipa</t>
        </is>
      </c>
      <c r="W31">
        <f>HYPERLINK("https://klasma.github.io/Logging_0765/artfynd/A 13196-2024 artfynd.xlsx", "A 13196-2024")</f>
        <v/>
      </c>
      <c r="X31">
        <f>HYPERLINK("https://klasma.github.io/Logging_0765/kartor/A 13196-2024 karta.png", "A 13196-2024")</f>
        <v/>
      </c>
      <c r="Y31">
        <f>HYPERLINK("https://klasma.github.io/Logging_0765/kartor_geotiff/A 13196-2024 georefererad karta.tif", "A 13196-2024")</f>
        <v/>
      </c>
      <c r="AA31">
        <f>HYPERLINK("https://klasma.github.io/Logging_0765/klagomål/A 13196-2024 FSC-klagomål.docx", "A 13196-2024")</f>
        <v/>
      </c>
      <c r="AB31">
        <f>HYPERLINK("https://klasma.github.io/Logging_0765/klagomålsmail/A 13196-2024 FSC-klagomål mail.docx", "A 13196-2024")</f>
        <v/>
      </c>
      <c r="AC31">
        <f>HYPERLINK("https://klasma.github.io/Logging_0765/tillsyn/A 13196-2024 tillsynsbegäran.docx", "A 13196-2024")</f>
        <v/>
      </c>
      <c r="AD31">
        <f>HYPERLINK("https://klasma.github.io/Logging_0765/tillsynsmail/A 13196-2024 tillsynsbegäran mail.docx", "A 13196-2024")</f>
        <v/>
      </c>
    </row>
    <row r="32" ht="15" customHeight="1">
      <c r="A32" t="inlineStr">
        <is>
          <t>A 10199-2025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46242</v>
      </c>
      <c r="F32" t="inlineStr">
        <is>
          <t>KRONOBERGS LÄN</t>
        </is>
      </c>
      <c r="G32" t="inlineStr">
        <is>
          <t>ÄLMHULT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HYPERLINK("https://klasma.github.io/Logging_0765/artfynd/A 10199-2025 artfynd.xlsx", "A 10199-2025")</f>
        <v/>
      </c>
      <c r="X32">
        <f>HYPERLINK("https://klasma.github.io/Logging_0765/kartor/A 10199-2025 karta.png", "A 10199-2025")</f>
        <v/>
      </c>
      <c r="Y32">
        <f>HYPERLINK("https://klasma.github.io/Logging_0765/kartor_geotiff/A 10199-2025 georefererad karta.tif", "A 10199-2025")</f>
        <v/>
      </c>
      <c r="AA32">
        <f>HYPERLINK("https://klasma.github.io/Logging_0765/klagomål/A 10199-2025 FSC-klagomål.docx", "A 10199-2025")</f>
        <v/>
      </c>
      <c r="AB32">
        <f>HYPERLINK("https://klasma.github.io/Logging_0765/klagomålsmail/A 10199-2025 FSC-klagomål mail.docx", "A 10199-2025")</f>
        <v/>
      </c>
      <c r="AC32">
        <f>HYPERLINK("https://klasma.github.io/Logging_0765/tillsyn/A 10199-2025 tillsynsbegäran.docx", "A 10199-2025")</f>
        <v/>
      </c>
      <c r="AD32">
        <f>HYPERLINK("https://klasma.github.io/Logging_0765/tillsynsmail/A 10199-2025 tillsynsbegäran mail.docx", "A 10199-2025")</f>
        <v/>
      </c>
    </row>
    <row r="33" ht="15" customHeight="1">
      <c r="A33" t="inlineStr">
        <is>
          <t>A 54470-2022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44882</v>
      </c>
      <c r="E33" s="1" t="n">
        <v>46242</v>
      </c>
      <c r="F33" t="inlineStr">
        <is>
          <t>KRONOBERGS LÄN</t>
        </is>
      </c>
      <c r="G33" t="inlineStr">
        <is>
          <t>ÄLMHULT</t>
        </is>
      </c>
      <c r="I33" t="n">
        <v>2.3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HYPERLINK("https://klasma.github.io/Logging_0765/artfynd/A 54470-2022 artfynd.xlsx", "A 54470-2022")</f>
        <v/>
      </c>
      <c r="X33">
        <f>HYPERLINK("https://klasma.github.io/Logging_0765/kartor/A 54470-2022 karta.png", "A 54470-2022")</f>
        <v/>
      </c>
      <c r="Y33">
        <f>HYPERLINK("https://klasma.github.io/Logging_0765/kartor_geotiff/A 54470-2022 georefererad karta.tif", "A 54470-2022")</f>
        <v/>
      </c>
      <c r="AA33">
        <f>HYPERLINK("https://klasma.github.io/Logging_0765/klagomål/A 54470-2022 FSC-klagomål.docx", "A 54470-2022")</f>
        <v/>
      </c>
      <c r="AB33">
        <f>HYPERLINK("https://klasma.github.io/Logging_0765/klagomålsmail/A 54470-2022 FSC-klagomål mail.docx", "A 54470-2022")</f>
        <v/>
      </c>
      <c r="AC33">
        <f>HYPERLINK("https://klasma.github.io/Logging_0765/tillsyn/A 54470-2022 tillsynsbegäran.docx", "A 54470-2022")</f>
        <v/>
      </c>
      <c r="AD33">
        <f>HYPERLINK("https://klasma.github.io/Logging_0765/tillsynsmail/A 54470-2022 tillsynsbegäran mail.docx", "A 54470-2022")</f>
        <v/>
      </c>
    </row>
    <row r="34" ht="15" customHeight="1">
      <c r="A34" t="inlineStr">
        <is>
          <t>A 64296-2023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45280</v>
      </c>
      <c r="E34" s="1" t="n">
        <v>46242</v>
      </c>
      <c r="F34" t="inlineStr">
        <is>
          <t>KRONOBERGS LÄN</t>
        </is>
      </c>
      <c r="G34" t="inlineStr">
        <is>
          <t>ÄLMHULT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Silversmygare</t>
        </is>
      </c>
      <c r="W34">
        <f>HYPERLINK("https://klasma.github.io/Logging_0765/artfynd/A 64296-2023 artfynd.xlsx", "A 64296-2023")</f>
        <v/>
      </c>
      <c r="X34">
        <f>HYPERLINK("https://klasma.github.io/Logging_0765/kartor/A 64296-2023 karta.png", "A 64296-2023")</f>
        <v/>
      </c>
      <c r="Y34">
        <f>HYPERLINK("https://klasma.github.io/Logging_0765/kartor_geotiff/A 64296-2023 georefererad karta.tif", "A 64296-2023")</f>
        <v/>
      </c>
      <c r="AA34">
        <f>HYPERLINK("https://klasma.github.io/Logging_0765/klagomål/A 64296-2023 FSC-klagomål.docx", "A 64296-2023")</f>
        <v/>
      </c>
      <c r="AB34">
        <f>HYPERLINK("https://klasma.github.io/Logging_0765/klagomålsmail/A 64296-2023 FSC-klagomål mail.docx", "A 64296-2023")</f>
        <v/>
      </c>
      <c r="AC34">
        <f>HYPERLINK("https://klasma.github.io/Logging_0765/tillsyn/A 64296-2023 tillsynsbegäran.docx", "A 64296-2023")</f>
        <v/>
      </c>
      <c r="AD34">
        <f>HYPERLINK("https://klasma.github.io/Logging_0765/tillsynsmail/A 64296-2023 tillsynsbegäran mail.docx", "A 64296-2023")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46242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Borsttåg</t>
        </is>
      </c>
      <c r="W35">
        <f>HYPERLINK("https://klasma.github.io/Logging_0765/artfynd/S 6203-2022 artfynd.xlsx", "S 6203-2022")</f>
        <v/>
      </c>
      <c r="X35">
        <f>HYPERLINK("https://klasma.github.io/Logging_0765/kartor/S 6203-2022 karta.png", "S 6203-2022")</f>
        <v/>
      </c>
      <c r="Y35">
        <f>HYPERLINK("https://klasma.github.io/Logging_0765/kartor_geotiff/S 6203-2022 georefererad karta.tif", "S 6203-2022")</f>
        <v/>
      </c>
      <c r="AA35">
        <f>HYPERLINK("https://klasma.github.io/Logging_0765/klagomål/S 6203-2022 FSC-klagomål.docx", "S 6203-2022")</f>
        <v/>
      </c>
      <c r="AB35">
        <f>HYPERLINK("https://klasma.github.io/Logging_0765/klagomålsmail/S 6203-2022 FSC-klagomål mail.docx", "S 6203-2022")</f>
        <v/>
      </c>
      <c r="AC35">
        <f>HYPERLINK("https://klasma.github.io/Logging_0765/tillsyn/S 6203-2022 tillsynsbegäran.docx", "S 6203-2022")</f>
        <v/>
      </c>
      <c r="AD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46242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HYPERLINK("https://klasma.github.io/Logging_0765/artfynd/S 1473-2025 artfynd.xlsx", "S 1473-2025")</f>
        <v/>
      </c>
      <c r="X36">
        <f>HYPERLINK("https://klasma.github.io/Logging_0765/kartor/S 1473-2025 karta.png", "S 1473-2025")</f>
        <v/>
      </c>
      <c r="Y36">
        <f>HYPERLINK("https://klasma.github.io/Logging_0765/kartor_geotiff/S 1473-2025 georefererad karta.tif", "S 1473-2025")</f>
        <v/>
      </c>
      <c r="AA36">
        <f>HYPERLINK("https://klasma.github.io/Logging_0765/klagomål/S 1473-2025 FSC-klagomål.docx", "S 1473-2025")</f>
        <v/>
      </c>
      <c r="AB36">
        <f>HYPERLINK("https://klasma.github.io/Logging_0765/klagomålsmail/S 1473-2025 FSC-klagomål mail.docx", "S 1473-2025")</f>
        <v/>
      </c>
      <c r="AC36">
        <f>HYPERLINK("https://klasma.github.io/Logging_0765/tillsyn/S 1473-2025 tillsynsbegäran.docx", "S 1473-2025")</f>
        <v/>
      </c>
      <c r="AD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46242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Borstskölding</t>
        </is>
      </c>
      <c r="W37">
        <f>HYPERLINK("https://klasma.github.io/Logging_0765/artfynd/S 145-2026 artfynd.xlsx", "S 145-2026")</f>
        <v/>
      </c>
      <c r="X37">
        <f>HYPERLINK("https://klasma.github.io/Logging_0765/kartor/S 145-2026 karta.png", "S 145-2026")</f>
        <v/>
      </c>
      <c r="Y37">
        <f>HYPERLINK("https://klasma.github.io/Logging_0765/kartor_geotiff/S 145-2026 georefererad karta.tif", "S 145-2026")</f>
        <v/>
      </c>
      <c r="AA37">
        <f>HYPERLINK("https://klasma.github.io/Logging_0765/klagomål/S 145-2026 FSC-klagomål.docx", "S 145-2026")</f>
        <v/>
      </c>
      <c r="AB37">
        <f>HYPERLINK("https://klasma.github.io/Logging_0765/klagomålsmail/S 145-2026 FSC-klagomål mail.docx", "S 145-2026")</f>
        <v/>
      </c>
      <c r="AC37">
        <f>HYPERLINK("https://klasma.github.io/Logging_0765/tillsyn/S 145-2026 tillsynsbegäran.docx", "S 145-2026")</f>
        <v/>
      </c>
      <c r="AD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46242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46242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46242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46242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46242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46242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46242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46242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46242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46242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46242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46242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46242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46242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46242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46242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46242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46242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46242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46242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46242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46242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46242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46242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46242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46242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46242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46242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46242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46242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46242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46242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46242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46242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46242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46242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46242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46242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46242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46242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46242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46242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46242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46242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46242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46242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46242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46242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46242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46242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46242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46242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46242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46242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46242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46242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46242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46242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46242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46242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46242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46242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46242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46242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46242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46242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46242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46242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46242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46242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46242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46242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46242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46242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46242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46242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46242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46242</v>
      </c>
      <c r="F115" t="inlineStr">
        <is>
          <t>KRONOBERGS LÄN</t>
        </is>
      </c>
      <c r="G115" t="inlineStr">
        <is>
          <t>ÄLMHULT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46242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46242</v>
      </c>
      <c r="F117" t="inlineStr">
        <is>
          <t>KRONOBERGS LÄN</t>
        </is>
      </c>
      <c r="G117" t="inlineStr">
        <is>
          <t>ÄLMHULT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46242</v>
      </c>
      <c r="F118" t="inlineStr">
        <is>
          <t>KRONOBERGS LÄN</t>
        </is>
      </c>
      <c r="G118" t="inlineStr">
        <is>
          <t>ÄLMHULT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46242</v>
      </c>
      <c r="F119" t="inlineStr">
        <is>
          <t>KRONOBERGS LÄN</t>
        </is>
      </c>
      <c r="G119" t="inlineStr">
        <is>
          <t>ÄLMHULT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19818-2024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45433</v>
      </c>
      <c r="E120" s="1" t="n">
        <v>46242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46242</v>
      </c>
      <c r="F121" t="inlineStr">
        <is>
          <t>KRONOBERGS LÄN</t>
        </is>
      </c>
      <c r="G121" t="inlineStr">
        <is>
          <t>ÄLMHULT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46242</v>
      </c>
      <c r="F122" t="inlineStr">
        <is>
          <t>KRONOBERGS LÄN</t>
        </is>
      </c>
      <c r="G122" t="inlineStr">
        <is>
          <t>ÄLMHULT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  <c r="Z122">
        <f>HYPERLINK("https://klasma.github.io/Logging_0765/knärot/A 27756-2023 karta knärot.png", "A 27756-2023")</f>
        <v/>
      </c>
      <c r="AA122">
        <f>HYPERLINK("https://klasma.github.io/Logging_0765/klagomål/A 27756-2023 FSC-klagomål.docx", "A 27756-2023")</f>
        <v/>
      </c>
      <c r="AB122">
        <f>HYPERLINK("https://klasma.github.io/Logging_0765/klagomålsmail/A 27756-2023 FSC-klagomål mail.docx", "A 27756-2023")</f>
        <v/>
      </c>
      <c r="AC122">
        <f>HYPERLINK("https://klasma.github.io/Logging_0765/tillsyn/A 27756-2023 tillsynsbegäran.docx", "A 27756-2023")</f>
        <v/>
      </c>
      <c r="AD122">
        <f>HYPERLINK("https://klasma.github.io/Logging_0765/tillsynsmail/A 27756-2023 tillsynsbegäran mail.docx", "A 27756-2023")</f>
        <v/>
      </c>
    </row>
    <row r="123" ht="15" customHeight="1">
      <c r="A123" t="inlineStr">
        <is>
          <t>A 7539-2024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46242</v>
      </c>
      <c r="F123" t="inlineStr">
        <is>
          <t>KRONOBERGS LÄN</t>
        </is>
      </c>
      <c r="G123" t="inlineStr">
        <is>
          <t>ÄLMHULT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46242</v>
      </c>
      <c r="F124" t="inlineStr">
        <is>
          <t>KRONOBERGS LÄN</t>
        </is>
      </c>
      <c r="G124" t="inlineStr">
        <is>
          <t>ÄLMHULT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45062</v>
      </c>
      <c r="E125" s="1" t="n">
        <v>46242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60621-2021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46242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46242</v>
      </c>
      <c r="F127" t="inlineStr">
        <is>
          <t>KRONOBERGS LÄN</t>
        </is>
      </c>
      <c r="G127" t="inlineStr">
        <is>
          <t>ÄLMHULT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46242</v>
      </c>
      <c r="F128" t="inlineStr">
        <is>
          <t>KRONOBERGS LÄN</t>
        </is>
      </c>
      <c r="G128" t="inlineStr">
        <is>
          <t>ÄLMHULT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46242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46242</v>
      </c>
      <c r="F130" t="inlineStr">
        <is>
          <t>KRONOBERGS LÄN</t>
        </is>
      </c>
      <c r="G130" t="inlineStr">
        <is>
          <t>ÄLMHULT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46242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46242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44962</v>
      </c>
      <c r="E133" s="1" t="n">
        <v>46242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46242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46242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46242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45543</v>
      </c>
      <c r="E137" s="1" t="n">
        <v>46242</v>
      </c>
      <c r="F137" t="inlineStr">
        <is>
          <t>KRONOBERGS LÄN</t>
        </is>
      </c>
      <c r="G137" t="inlineStr">
        <is>
          <t>ÄLMHULT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46242</v>
      </c>
      <c r="F138" t="inlineStr">
        <is>
          <t>KRONOBERGS LÄN</t>
        </is>
      </c>
      <c r="G138" t="inlineStr">
        <is>
          <t>ÄLMHULT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46242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46242</v>
      </c>
      <c r="F140" t="inlineStr">
        <is>
          <t>KRONOBERGS LÄN</t>
        </is>
      </c>
      <c r="G140" t="inlineStr">
        <is>
          <t>ÄLMHULT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46242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46242</v>
      </c>
      <c r="F142" t="inlineStr">
        <is>
          <t>KRONOBERGS LÄN</t>
        </is>
      </c>
      <c r="G142" t="inlineStr">
        <is>
          <t>ÄLMHULT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46242</v>
      </c>
      <c r="F143" t="inlineStr">
        <is>
          <t>KRONOBERGS LÄN</t>
        </is>
      </c>
      <c r="G143" t="inlineStr">
        <is>
          <t>ÄLMHULT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46242</v>
      </c>
      <c r="F144" t="inlineStr">
        <is>
          <t>KRONOBERGS LÄN</t>
        </is>
      </c>
      <c r="G144" t="inlineStr">
        <is>
          <t>ÄLMHULT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46242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46242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46242</v>
      </c>
      <c r="F147" t="inlineStr">
        <is>
          <t>KRONOBERGS LÄN</t>
        </is>
      </c>
      <c r="G147" t="inlineStr">
        <is>
          <t>ÄLMHULT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45566</v>
      </c>
      <c r="E148" s="1" t="n">
        <v>46242</v>
      </c>
      <c r="F148" t="inlineStr">
        <is>
          <t>KRONOBERGS LÄN</t>
        </is>
      </c>
      <c r="G148" t="inlineStr">
        <is>
          <t>ÄLMHULT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46242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46242</v>
      </c>
      <c r="F150" t="inlineStr">
        <is>
          <t>KRONOBERGS LÄN</t>
        </is>
      </c>
      <c r="G150" t="inlineStr">
        <is>
          <t>ÄLMHULT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46242</v>
      </c>
      <c r="F151" t="inlineStr">
        <is>
          <t>KRONOBERGS LÄN</t>
        </is>
      </c>
      <c r="G151" t="inlineStr">
        <is>
          <t>ÄLMHULT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45309</v>
      </c>
      <c r="E152" s="1" t="n">
        <v>46242</v>
      </c>
      <c r="F152" t="inlineStr">
        <is>
          <t>KRONOBERGS LÄN</t>
        </is>
      </c>
      <c r="G152" t="inlineStr">
        <is>
          <t>ÄLMHULT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60690-2021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44496</v>
      </c>
      <c r="E153" s="1" t="n">
        <v>46242</v>
      </c>
      <c r="F153" t="inlineStr">
        <is>
          <t>KRONOBERGS LÄN</t>
        </is>
      </c>
      <c r="G153" t="inlineStr">
        <is>
          <t>ÄLMHULT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45469</v>
      </c>
      <c r="E154" s="1" t="n">
        <v>46242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46242</v>
      </c>
      <c r="F155" t="inlineStr">
        <is>
          <t>KRONOBERGS LÄN</t>
        </is>
      </c>
      <c r="G155" t="inlineStr">
        <is>
          <t>ÄLMHULT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44686</v>
      </c>
      <c r="E156" s="1" t="n">
        <v>46242</v>
      </c>
      <c r="F156" t="inlineStr">
        <is>
          <t>KRONOBERGS LÄN</t>
        </is>
      </c>
      <c r="G156" t="inlineStr">
        <is>
          <t>ÄLMHULT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46242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46242</v>
      </c>
      <c r="F158" t="inlineStr">
        <is>
          <t>KRONOBERGS LÄN</t>
        </is>
      </c>
      <c r="G158" t="inlineStr">
        <is>
          <t>ÄLMHULT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46242</v>
      </c>
      <c r="F159" t="inlineStr">
        <is>
          <t>KRONOBERGS LÄN</t>
        </is>
      </c>
      <c r="G159" t="inlineStr">
        <is>
          <t>ÄLMHULT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19722-2023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45051</v>
      </c>
      <c r="E160" s="1" t="n">
        <v>46242</v>
      </c>
      <c r="F160" t="inlineStr">
        <is>
          <t>KRONOBERGS LÄN</t>
        </is>
      </c>
      <c r="G160" t="inlineStr">
        <is>
          <t>ÄLMHULT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44876</v>
      </c>
      <c r="E161" s="1" t="n">
        <v>46242</v>
      </c>
      <c r="F161" t="inlineStr">
        <is>
          <t>KRONOBERGS LÄN</t>
        </is>
      </c>
      <c r="G161" t="inlineStr">
        <is>
          <t>ÄLMHULT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46242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46242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46242</v>
      </c>
      <c r="F164" t="inlineStr">
        <is>
          <t>KRONOBERGS LÄN</t>
        </is>
      </c>
      <c r="G164" t="inlineStr">
        <is>
          <t>ÄLMHULT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46242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46242</v>
      </c>
      <c r="F166" t="inlineStr">
        <is>
          <t>KRONOBERGS LÄN</t>
        </is>
      </c>
      <c r="G166" t="inlineStr">
        <is>
          <t>ÄLMHULT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46242</v>
      </c>
      <c r="F167" t="inlineStr">
        <is>
          <t>KRONOBERGS LÄN</t>
        </is>
      </c>
      <c r="G167" t="inlineStr">
        <is>
          <t>ÄLMHULT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46242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46242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46242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64624-2021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44511</v>
      </c>
      <c r="E171" s="1" t="n">
        <v>46242</v>
      </c>
      <c r="F171" t="inlineStr">
        <is>
          <t>KRONOBERGS LÄN</t>
        </is>
      </c>
      <c r="G171" t="inlineStr">
        <is>
          <t>ÄLMHULT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46242</v>
      </c>
      <c r="F172" t="inlineStr">
        <is>
          <t>KRONOBERGS LÄN</t>
        </is>
      </c>
      <c r="G172" t="inlineStr">
        <is>
          <t>ÄLMHULT</t>
        </is>
      </c>
      <c r="I172" t="n">
        <v>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45303</v>
      </c>
      <c r="E173" s="1" t="n">
        <v>46242</v>
      </c>
      <c r="F173" t="inlineStr">
        <is>
          <t>KRONOBERGS LÄN</t>
        </is>
      </c>
      <c r="G173" t="inlineStr">
        <is>
          <t>ÄLMHULT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45290</v>
      </c>
      <c r="E174" s="1" t="n">
        <v>46242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46242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46242</v>
      </c>
      <c r="F176" t="inlineStr">
        <is>
          <t>KRONOBERGS LÄN</t>
        </is>
      </c>
      <c r="G176" t="inlineStr">
        <is>
          <t>ÄLMHULT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46242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46242</v>
      </c>
      <c r="F178" t="inlineStr">
        <is>
          <t>KRONOBERGS LÄN</t>
        </is>
      </c>
      <c r="G178" t="inlineStr">
        <is>
          <t>ÄLMHULT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46242</v>
      </c>
      <c r="F179" t="inlineStr">
        <is>
          <t>KRONOBERGS LÄN</t>
        </is>
      </c>
      <c r="G179" t="inlineStr">
        <is>
          <t>ÄLMHULT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45460</v>
      </c>
      <c r="E180" s="1" t="n">
        <v>46242</v>
      </c>
      <c r="F180" t="inlineStr">
        <is>
          <t>KRONOBERGS LÄN</t>
        </is>
      </c>
      <c r="G180" t="inlineStr">
        <is>
          <t>ÄLMHULT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45663</v>
      </c>
      <c r="E181" s="1" t="n">
        <v>46242</v>
      </c>
      <c r="F181" t="inlineStr">
        <is>
          <t>KRONOBERGS LÄN</t>
        </is>
      </c>
      <c r="G181" t="inlineStr">
        <is>
          <t>ÄLMHULT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46242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46242</v>
      </c>
      <c r="F183" t="inlineStr">
        <is>
          <t>KRONOBERGS LÄN</t>
        </is>
      </c>
      <c r="G183" t="inlineStr">
        <is>
          <t>ÄLMHULT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46242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44979</v>
      </c>
      <c r="E185" s="1" t="n">
        <v>46242</v>
      </c>
      <c r="F185" t="inlineStr">
        <is>
          <t>KRONOBERGS LÄN</t>
        </is>
      </c>
      <c r="G185" t="inlineStr">
        <is>
          <t>ÄLMHULT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46242</v>
      </c>
      <c r="F186" t="inlineStr">
        <is>
          <t>KRONOBERGS LÄN</t>
        </is>
      </c>
      <c r="G186" t="inlineStr">
        <is>
          <t>ÄLMHULT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46242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46242</v>
      </c>
      <c r="F188" t="inlineStr">
        <is>
          <t>KRONOBERGS LÄN</t>
        </is>
      </c>
      <c r="G188" t="inlineStr">
        <is>
          <t>ÄLMHULT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46242</v>
      </c>
      <c r="F189" t="inlineStr">
        <is>
          <t>KRONOBERGS LÄN</t>
        </is>
      </c>
      <c r="G189" t="inlineStr">
        <is>
          <t>ÄLMHULT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46242</v>
      </c>
      <c r="F190" t="inlineStr">
        <is>
          <t>KRONOBERGS LÄN</t>
        </is>
      </c>
      <c r="G190" t="inlineStr">
        <is>
          <t>ÄLMHULT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46242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46242</v>
      </c>
      <c r="F192" t="inlineStr">
        <is>
          <t>KRONOBERGS LÄN</t>
        </is>
      </c>
      <c r="G192" t="inlineStr">
        <is>
          <t>ÄLMHULT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46242</v>
      </c>
      <c r="F193" t="inlineStr">
        <is>
          <t>KRONOBERGS LÄN</t>
        </is>
      </c>
      <c r="G193" t="inlineStr">
        <is>
          <t>ÄLMHULT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46242</v>
      </c>
      <c r="F194" t="inlineStr">
        <is>
          <t>KRONOBERGS LÄN</t>
        </is>
      </c>
      <c r="G194" t="inlineStr">
        <is>
          <t>ÄLMHULT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46242</v>
      </c>
      <c r="F195" t="inlineStr">
        <is>
          <t>KRONOBERGS LÄN</t>
        </is>
      </c>
      <c r="G195" t="inlineStr">
        <is>
          <t>ÄLMHULT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45637</v>
      </c>
      <c r="E196" s="1" t="n">
        <v>46242</v>
      </c>
      <c r="F196" t="inlineStr">
        <is>
          <t>KRONOBERGS LÄN</t>
        </is>
      </c>
      <c r="G196" t="inlineStr">
        <is>
          <t>ÄLMHULT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46242</v>
      </c>
      <c r="F197" t="inlineStr">
        <is>
          <t>KRONOBERGS LÄN</t>
        </is>
      </c>
      <c r="G197" t="inlineStr">
        <is>
          <t>ÄLMHULT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46242</v>
      </c>
      <c r="F198" t="inlineStr">
        <is>
          <t>KRONOBERGS LÄN</t>
        </is>
      </c>
      <c r="G198" t="inlineStr">
        <is>
          <t>ÄLMHULT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46242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46242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44958</v>
      </c>
      <c r="E201" s="1" t="n">
        <v>46242</v>
      </c>
      <c r="F201" t="inlineStr">
        <is>
          <t>KRONOBERGS LÄN</t>
        </is>
      </c>
      <c r="G201" t="inlineStr">
        <is>
          <t>ÄLMHULT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46242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49292-2022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44861</v>
      </c>
      <c r="E203" s="1" t="n">
        <v>46242</v>
      </c>
      <c r="F203" t="inlineStr">
        <is>
          <t>KRONOBERGS LÄN</t>
        </is>
      </c>
      <c r="G203" t="inlineStr">
        <is>
          <t>ÄLMHULT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46242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46242</v>
      </c>
      <c r="F205" t="inlineStr">
        <is>
          <t>KRONOBERGS LÄN</t>
        </is>
      </c>
      <c r="G205" t="inlineStr">
        <is>
          <t>ÄLMHULT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21201-2023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46242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45414</v>
      </c>
      <c r="E207" s="1" t="n">
        <v>46242</v>
      </c>
      <c r="F207" t="inlineStr">
        <is>
          <t>KRONOBERGS LÄN</t>
        </is>
      </c>
      <c r="G207" t="inlineStr">
        <is>
          <t>ÄLMHULT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46242</v>
      </c>
      <c r="F208" t="inlineStr">
        <is>
          <t>KRONOBERGS LÄN</t>
        </is>
      </c>
      <c r="G208" t="inlineStr">
        <is>
          <t>ÄLMHULT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46242</v>
      </c>
      <c r="F209" t="inlineStr">
        <is>
          <t>KRONOBERGS LÄN</t>
        </is>
      </c>
      <c r="G209" t="inlineStr">
        <is>
          <t>ÄLMHULT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45460</v>
      </c>
      <c r="E210" s="1" t="n">
        <v>46242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46242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8102-2026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46063</v>
      </c>
      <c r="E212" s="1" t="n">
        <v>46242</v>
      </c>
      <c r="F212" t="inlineStr">
        <is>
          <t>KRONOBERGS LÄN</t>
        </is>
      </c>
      <c r="G212" t="inlineStr">
        <is>
          <t>ÄLMHULT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46242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46242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46242</v>
      </c>
      <c r="F215" t="inlineStr">
        <is>
          <t>KRONOBERGS LÄN</t>
        </is>
      </c>
      <c r="G215" t="inlineStr">
        <is>
          <t>ÄLMHULT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46242</v>
      </c>
      <c r="F216" t="inlineStr">
        <is>
          <t>KRONOBERGS LÄN</t>
        </is>
      </c>
      <c r="G216" t="inlineStr">
        <is>
          <t>ÄLMHULT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46242</v>
      </c>
      <c r="F217" t="inlineStr">
        <is>
          <t>KRONOBERGS LÄN</t>
        </is>
      </c>
      <c r="G217" t="inlineStr">
        <is>
          <t>ÄLMHULT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45042</v>
      </c>
      <c r="E218" s="1" t="n">
        <v>46242</v>
      </c>
      <c r="F218" t="inlineStr">
        <is>
          <t>KRONOBERGS LÄN</t>
        </is>
      </c>
      <c r="G218" t="inlineStr">
        <is>
          <t>ÄLMHULT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46061</v>
      </c>
      <c r="E219" s="1" t="n">
        <v>46242</v>
      </c>
      <c r="F219" t="inlineStr">
        <is>
          <t>KRONOBERGS LÄN</t>
        </is>
      </c>
      <c r="G219" t="inlineStr">
        <is>
          <t>ÄLMHULT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45612</v>
      </c>
      <c r="E220" s="1" t="n">
        <v>46242</v>
      </c>
      <c r="F220" t="inlineStr">
        <is>
          <t>KRONOBERGS LÄN</t>
        </is>
      </c>
      <c r="G220" t="inlineStr">
        <is>
          <t>ÄLMHULT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46242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46242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46242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46242</v>
      </c>
      <c r="F224" t="inlineStr">
        <is>
          <t>KRONOBERGS LÄN</t>
        </is>
      </c>
      <c r="G224" t="inlineStr">
        <is>
          <t>ÄLMHULT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46242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46242</v>
      </c>
      <c r="F226" t="inlineStr">
        <is>
          <t>KRONOBERGS LÄN</t>
        </is>
      </c>
      <c r="G226" t="inlineStr">
        <is>
          <t>ÄLMHULT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46242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46242</v>
      </c>
      <c r="F228" t="inlineStr">
        <is>
          <t>KRONOBERGS LÄN</t>
        </is>
      </c>
      <c r="G228" t="inlineStr">
        <is>
          <t>ÄLMHULT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46242</v>
      </c>
      <c r="F229" t="inlineStr">
        <is>
          <t>KRONOBERGS LÄN</t>
        </is>
      </c>
      <c r="G229" t="inlineStr">
        <is>
          <t>ÄLMHULT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46242</v>
      </c>
      <c r="F230" t="inlineStr">
        <is>
          <t>KRONOBERGS LÄN</t>
        </is>
      </c>
      <c r="G230" t="inlineStr">
        <is>
          <t>ÄLMHULT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45078</v>
      </c>
      <c r="E231" s="1" t="n">
        <v>46242</v>
      </c>
      <c r="F231" t="inlineStr">
        <is>
          <t>KRONOBERGS LÄN</t>
        </is>
      </c>
      <c r="G231" t="inlineStr">
        <is>
          <t>ÄLMHULT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46242</v>
      </c>
      <c r="F232" t="inlineStr">
        <is>
          <t>KRONOBERGS LÄN</t>
        </is>
      </c>
      <c r="G232" t="inlineStr">
        <is>
          <t>ÄLMHULT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46242</v>
      </c>
      <c r="F233" t="inlineStr">
        <is>
          <t>KRONOBERGS LÄN</t>
        </is>
      </c>
      <c r="G233" t="inlineStr">
        <is>
          <t>ÄLMHULT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46242</v>
      </c>
      <c r="F234" t="inlineStr">
        <is>
          <t>KRONOBERGS LÄN</t>
        </is>
      </c>
      <c r="G234" t="inlineStr">
        <is>
          <t>ÄLMHULT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44921</v>
      </c>
      <c r="E235" s="1" t="n">
        <v>46242</v>
      </c>
      <c r="F235" t="inlineStr">
        <is>
          <t>KRONOBERGS LÄN</t>
        </is>
      </c>
      <c r="G235" t="inlineStr">
        <is>
          <t>ÄLMHULT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46242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45352</v>
      </c>
      <c r="E237" s="1" t="n">
        <v>46242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45228</v>
      </c>
      <c r="E238" s="1" t="n">
        <v>46242</v>
      </c>
      <c r="F238" t="inlineStr">
        <is>
          <t>KRONOBERGS LÄN</t>
        </is>
      </c>
      <c r="G238" t="inlineStr">
        <is>
          <t>ÄLMHULT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46242</v>
      </c>
      <c r="F239" t="inlineStr">
        <is>
          <t>KRONOBERGS LÄN</t>
        </is>
      </c>
      <c r="G239" t="inlineStr">
        <is>
          <t>ÄLMHULT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46242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45548</v>
      </c>
      <c r="E241" s="1" t="n">
        <v>46242</v>
      </c>
      <c r="F241" t="inlineStr">
        <is>
          <t>KRONOBERGS LÄN</t>
        </is>
      </c>
      <c r="G241" t="inlineStr">
        <is>
          <t>ÄLMHULT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46242</v>
      </c>
      <c r="F242" t="inlineStr">
        <is>
          <t>KRONOBERGS LÄN</t>
        </is>
      </c>
      <c r="G242" t="inlineStr">
        <is>
          <t>ÄLMHULT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46242</v>
      </c>
      <c r="F243" t="inlineStr">
        <is>
          <t>KRONOBERGS LÄN</t>
        </is>
      </c>
      <c r="G243" t="inlineStr">
        <is>
          <t>ÄLMHULT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46242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46242</v>
      </c>
      <c r="F245" t="inlineStr">
        <is>
          <t>KRONOBERGS LÄN</t>
        </is>
      </c>
      <c r="G245" t="inlineStr">
        <is>
          <t>ÄLMHULT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45538</v>
      </c>
      <c r="E246" s="1" t="n">
        <v>46242</v>
      </c>
      <c r="F246" t="inlineStr">
        <is>
          <t>KRONOBERGS LÄN</t>
        </is>
      </c>
      <c r="G246" t="inlineStr">
        <is>
          <t>ÄLMHULT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46242</v>
      </c>
      <c r="F247" t="inlineStr">
        <is>
          <t>KRONOBERGS LÄN</t>
        </is>
      </c>
      <c r="G247" t="inlineStr">
        <is>
          <t>ÄLMHULT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30322-2025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45827</v>
      </c>
      <c r="E248" s="1" t="n">
        <v>46242</v>
      </c>
      <c r="F248" t="inlineStr">
        <is>
          <t>KRONOBERGS LÄN</t>
        </is>
      </c>
      <c r="G248" t="inlineStr">
        <is>
          <t>ÄLMHULT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46242</v>
      </c>
      <c r="F249" t="inlineStr">
        <is>
          <t>KRONOBERGS LÄN</t>
        </is>
      </c>
      <c r="G249" t="inlineStr">
        <is>
          <t>ÄLMHULT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62241-2021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44503</v>
      </c>
      <c r="E250" s="1" t="n">
        <v>46242</v>
      </c>
      <c r="F250" t="inlineStr">
        <is>
          <t>KRONOBERGS LÄN</t>
        </is>
      </c>
      <c r="G250" t="inlineStr">
        <is>
          <t>ÄLMHULT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46242</v>
      </c>
      <c r="F251" t="inlineStr">
        <is>
          <t>KRONOBERGS LÄN</t>
        </is>
      </c>
      <c r="G251" t="inlineStr">
        <is>
          <t>ÄLMHULT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46242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46242</v>
      </c>
      <c r="F253" t="inlineStr">
        <is>
          <t>KRONOBERGS LÄN</t>
        </is>
      </c>
      <c r="G253" t="inlineStr">
        <is>
          <t>ÄLMHULT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41055-2024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46242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46242</v>
      </c>
      <c r="F255" t="inlineStr">
        <is>
          <t>KRONOBERGS LÄN</t>
        </is>
      </c>
      <c r="G255" t="inlineStr">
        <is>
          <t>ÄLMHULT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46242</v>
      </c>
      <c r="F256" t="inlineStr">
        <is>
          <t>KRONOBERGS LÄN</t>
        </is>
      </c>
      <c r="G256" t="inlineStr">
        <is>
          <t>ÄLMHULT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46242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46242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46242</v>
      </c>
      <c r="F259" t="inlineStr">
        <is>
          <t>KRONOBERGS LÄN</t>
        </is>
      </c>
      <c r="G259" t="inlineStr">
        <is>
          <t>ÄLMHULT</t>
        </is>
      </c>
      <c r="I259" t="n">
        <v>29.1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45254</v>
      </c>
      <c r="E260" s="1" t="n">
        <v>46242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46242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46242</v>
      </c>
      <c r="F262" t="inlineStr">
        <is>
          <t>KRONOBERGS LÄN</t>
        </is>
      </c>
      <c r="G262" t="inlineStr">
        <is>
          <t>ÄLMHULT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21470-2024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45441</v>
      </c>
      <c r="E263" s="1" t="n">
        <v>46242</v>
      </c>
      <c r="F263" t="inlineStr">
        <is>
          <t>KRONOBERGS LÄN</t>
        </is>
      </c>
      <c r="G263" t="inlineStr">
        <is>
          <t>ÄLMHULT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46242</v>
      </c>
      <c r="F264" t="inlineStr">
        <is>
          <t>KRONOBERGS LÄN</t>
        </is>
      </c>
      <c r="G264" t="inlineStr">
        <is>
          <t>ÄLMHULT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45335</v>
      </c>
      <c r="E265" s="1" t="n">
        <v>46242</v>
      </c>
      <c r="F265" t="inlineStr">
        <is>
          <t>KRONOBERGS LÄN</t>
        </is>
      </c>
      <c r="G265" t="inlineStr">
        <is>
          <t>ÄLMHULT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46242</v>
      </c>
      <c r="F266" t="inlineStr">
        <is>
          <t>KRONOBERGS LÄN</t>
        </is>
      </c>
      <c r="G266" t="inlineStr">
        <is>
          <t>ÄLMHULT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45334</v>
      </c>
      <c r="E267" s="1" t="n">
        <v>46242</v>
      </c>
      <c r="F267" t="inlineStr">
        <is>
          <t>KRONOBERGS LÄN</t>
        </is>
      </c>
      <c r="G267" t="inlineStr">
        <is>
          <t>ÄLMHULT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46242</v>
      </c>
      <c r="F268" t="inlineStr">
        <is>
          <t>KRONOBERGS LÄN</t>
        </is>
      </c>
      <c r="G268" t="inlineStr">
        <is>
          <t>ÄLMHULT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46242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46242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46242</v>
      </c>
      <c r="F271" t="inlineStr">
        <is>
          <t>KRONOBERGS LÄN</t>
        </is>
      </c>
      <c r="G271" t="inlineStr">
        <is>
          <t>ÄLMHULT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46242</v>
      </c>
      <c r="F272" t="inlineStr">
        <is>
          <t>KRONOBERGS LÄN</t>
        </is>
      </c>
      <c r="G272" t="inlineStr">
        <is>
          <t>ÄLMHULT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46242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46242</v>
      </c>
      <c r="F274" t="inlineStr">
        <is>
          <t>KRONOBERGS LÄN</t>
        </is>
      </c>
      <c r="G274" t="inlineStr">
        <is>
          <t>ÄLMHULT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72469-2021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44545</v>
      </c>
      <c r="E275" s="1" t="n">
        <v>46242</v>
      </c>
      <c r="F275" t="inlineStr">
        <is>
          <t>KRONOBERGS LÄN</t>
        </is>
      </c>
      <c r="G275" t="inlineStr">
        <is>
          <t>ÄLMHULT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45140</v>
      </c>
      <c r="E276" s="1" t="n">
        <v>46242</v>
      </c>
      <c r="F276" t="inlineStr">
        <is>
          <t>KRONOBERGS LÄN</t>
        </is>
      </c>
      <c r="G276" t="inlineStr">
        <is>
          <t>ÄLMHULT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46242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46242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46242</v>
      </c>
      <c r="F279" t="inlineStr">
        <is>
          <t>KRONOBERGS LÄN</t>
        </is>
      </c>
      <c r="G279" t="inlineStr">
        <is>
          <t>ÄLMHULT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46242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46242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46242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46242</v>
      </c>
      <c r="F283" t="inlineStr">
        <is>
          <t>KRONOBERGS LÄN</t>
        </is>
      </c>
      <c r="G283" t="inlineStr">
        <is>
          <t>ÄLMHULT</t>
        </is>
      </c>
      <c r="H283" t="inlineStr">
        <is>
          <t>Sveaskog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46242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46242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46242</v>
      </c>
      <c r="F286" t="inlineStr">
        <is>
          <t>KRONOBERGS LÄN</t>
        </is>
      </c>
      <c r="G286" t="inlineStr">
        <is>
          <t>ÄLMHULT</t>
        </is>
      </c>
      <c r="H286" t="inlineStr">
        <is>
          <t>Sveaskog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46242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46242</v>
      </c>
      <c r="F288" t="inlineStr">
        <is>
          <t>KRONOBERGS LÄN</t>
        </is>
      </c>
      <c r="G288" t="inlineStr">
        <is>
          <t>ÄLMHULT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46242</v>
      </c>
      <c r="F289" t="inlineStr">
        <is>
          <t>KRONOBERGS LÄN</t>
        </is>
      </c>
      <c r="G289" t="inlineStr">
        <is>
          <t>ÄLMHULT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45111</v>
      </c>
      <c r="E290" s="1" t="n">
        <v>46242</v>
      </c>
      <c r="F290" t="inlineStr">
        <is>
          <t>KRONOBERGS LÄN</t>
        </is>
      </c>
      <c r="G290" t="inlineStr">
        <is>
          <t>ÄLMHULT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45348</v>
      </c>
      <c r="E291" s="1" t="n">
        <v>46242</v>
      </c>
      <c r="F291" t="inlineStr">
        <is>
          <t>KRONOBERGS LÄN</t>
        </is>
      </c>
      <c r="G291" t="inlineStr">
        <is>
          <t>ÄLMHULT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54363-2023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46242</v>
      </c>
      <c r="F292" t="inlineStr">
        <is>
          <t>KRONOBERGS LÄN</t>
        </is>
      </c>
      <c r="G292" t="inlineStr">
        <is>
          <t>ÄLMHULT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54364-2023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45233</v>
      </c>
      <c r="E293" s="1" t="n">
        <v>46242</v>
      </c>
      <c r="F293" t="inlineStr">
        <is>
          <t>KRONOBERGS LÄN</t>
        </is>
      </c>
      <c r="G293" t="inlineStr">
        <is>
          <t>ÄLMHULT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46242</v>
      </c>
      <c r="F294" t="inlineStr">
        <is>
          <t>KRONOBERGS LÄN</t>
        </is>
      </c>
      <c r="G294" t="inlineStr">
        <is>
          <t>ÄLMHULT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46242</v>
      </c>
      <c r="F295" t="inlineStr">
        <is>
          <t>KRONOBERGS LÄN</t>
        </is>
      </c>
      <c r="G295" t="inlineStr">
        <is>
          <t>ÄLMHULT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46242</v>
      </c>
      <c r="F296" t="inlineStr">
        <is>
          <t>KRONOBERGS LÄN</t>
        </is>
      </c>
      <c r="G296" t="inlineStr">
        <is>
          <t>ÄLMHULT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67257-2021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44523</v>
      </c>
      <c r="E297" s="1" t="n">
        <v>46242</v>
      </c>
      <c r="F297" t="inlineStr">
        <is>
          <t>KRONOBERGS LÄN</t>
        </is>
      </c>
      <c r="G297" t="inlineStr">
        <is>
          <t>ÄLMHULT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46242</v>
      </c>
      <c r="F298" t="inlineStr">
        <is>
          <t>KRONOBERGS LÄN</t>
        </is>
      </c>
      <c r="G298" t="inlineStr">
        <is>
          <t>ÄLMHULT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46242</v>
      </c>
      <c r="F299" t="inlineStr">
        <is>
          <t>KRONOBERGS LÄN</t>
        </is>
      </c>
      <c r="G299" t="inlineStr">
        <is>
          <t>ÄLMHULT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46242</v>
      </c>
      <c r="F300" t="inlineStr">
        <is>
          <t>KRONOBERGS LÄN</t>
        </is>
      </c>
      <c r="G300" t="inlineStr">
        <is>
          <t>ÄLMHULT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46242</v>
      </c>
      <c r="F301" t="inlineStr">
        <is>
          <t>KRONOBERGS LÄN</t>
        </is>
      </c>
      <c r="G301" t="inlineStr">
        <is>
          <t>ÄLMHULT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46242</v>
      </c>
      <c r="F302" t="inlineStr">
        <is>
          <t>KRONOBERGS LÄN</t>
        </is>
      </c>
      <c r="G302" t="inlineStr">
        <is>
          <t>ÄLMHULT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46242</v>
      </c>
      <c r="F303" t="inlineStr">
        <is>
          <t>KRONOBERGS LÄN</t>
        </is>
      </c>
      <c r="G303" t="inlineStr">
        <is>
          <t>ÄLMHULT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46242</v>
      </c>
      <c r="F304" t="inlineStr">
        <is>
          <t>KRONOBERGS LÄN</t>
        </is>
      </c>
      <c r="G304" t="inlineStr">
        <is>
          <t>ÄLMHULT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46242</v>
      </c>
      <c r="F305" t="inlineStr">
        <is>
          <t>KRONOBERGS LÄN</t>
        </is>
      </c>
      <c r="G305" t="inlineStr">
        <is>
          <t>ÄLMHULT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46242</v>
      </c>
      <c r="F306" t="inlineStr">
        <is>
          <t>KRONOBERGS LÄN</t>
        </is>
      </c>
      <c r="G306" t="inlineStr">
        <is>
          <t>ÄLMHULT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46242</v>
      </c>
      <c r="F307" t="inlineStr">
        <is>
          <t>KRONOBERGS LÄN</t>
        </is>
      </c>
      <c r="G307" t="inlineStr">
        <is>
          <t>ÄLMHULT</t>
        </is>
      </c>
      <c r="I307" t="n">
        <v>11.5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13606-2023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45006</v>
      </c>
      <c r="E308" s="1" t="n">
        <v>46242</v>
      </c>
      <c r="F308" t="inlineStr">
        <is>
          <t>KRONOBERGS LÄN</t>
        </is>
      </c>
      <c r="G308" t="inlineStr">
        <is>
          <t>ÄLMHULT</t>
        </is>
      </c>
      <c r="H308" t="inlineStr">
        <is>
          <t>Kommuner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45969</v>
      </c>
      <c r="E309" s="1" t="n">
        <v>46242</v>
      </c>
      <c r="F309" t="inlineStr">
        <is>
          <t>KRONOBERGS LÄN</t>
        </is>
      </c>
      <c r="G309" t="inlineStr">
        <is>
          <t>ÄLMHULT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45969</v>
      </c>
      <c r="E310" s="1" t="n">
        <v>46242</v>
      </c>
      <c r="F310" t="inlineStr">
        <is>
          <t>KRONOBERGS LÄN</t>
        </is>
      </c>
      <c r="G310" t="inlineStr">
        <is>
          <t>ÄLMHULT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46242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46242</v>
      </c>
      <c r="F312" t="inlineStr">
        <is>
          <t>KRONOBERGS LÄN</t>
        </is>
      </c>
      <c r="G312" t="inlineStr">
        <is>
          <t>ÄLMHULT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46242</v>
      </c>
      <c r="F313" t="inlineStr">
        <is>
          <t>KRONOBERGS LÄN</t>
        </is>
      </c>
      <c r="G313" t="inlineStr">
        <is>
          <t>ÄLMHULT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46242</v>
      </c>
      <c r="F314" t="inlineStr">
        <is>
          <t>KRONOBERGS LÄN</t>
        </is>
      </c>
      <c r="G314" t="inlineStr">
        <is>
          <t>ÄLMHULT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46242</v>
      </c>
      <c r="F315" t="inlineStr">
        <is>
          <t>KRONOBERGS LÄN</t>
        </is>
      </c>
      <c r="G315" t="inlineStr">
        <is>
          <t>ÄLMHULT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46242</v>
      </c>
      <c r="F316" t="inlineStr">
        <is>
          <t>KRONOBERGS LÄN</t>
        </is>
      </c>
      <c r="G316" t="inlineStr">
        <is>
          <t>ÄLMHULT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46242</v>
      </c>
      <c r="F317" t="inlineStr">
        <is>
          <t>KRONOBERGS LÄN</t>
        </is>
      </c>
      <c r="G317" t="inlineStr">
        <is>
          <t>ÄLMHULT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33944-2023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45134</v>
      </c>
      <c r="E318" s="1" t="n">
        <v>46242</v>
      </c>
      <c r="F318" t="inlineStr">
        <is>
          <t>KRONOBERGS LÄN</t>
        </is>
      </c>
      <c r="G318" t="inlineStr">
        <is>
          <t>ÄLMHULT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43876-2021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44434</v>
      </c>
      <c r="E319" s="1" t="n">
        <v>46242</v>
      </c>
      <c r="F319" t="inlineStr">
        <is>
          <t>KRONOBERGS LÄN</t>
        </is>
      </c>
      <c r="G319" t="inlineStr">
        <is>
          <t>ÄLMHULT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46242</v>
      </c>
      <c r="F320" t="inlineStr">
        <is>
          <t>KRONOBERGS LÄN</t>
        </is>
      </c>
      <c r="G320" t="inlineStr">
        <is>
          <t>ÄLMHULT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46242</v>
      </c>
      <c r="F321" t="inlineStr">
        <is>
          <t>KRONOBERGS LÄN</t>
        </is>
      </c>
      <c r="G321" t="inlineStr">
        <is>
          <t>ÄLMHULT</t>
        </is>
      </c>
      <c r="H321" t="inlineStr">
        <is>
          <t>Kyrkan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46242</v>
      </c>
      <c r="F322" t="inlineStr">
        <is>
          <t>KRONOBERGS LÄN</t>
        </is>
      </c>
      <c r="G322" t="inlineStr">
        <is>
          <t>ÄLMHULT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46242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46242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46242</v>
      </c>
      <c r="F325" t="inlineStr">
        <is>
          <t>KRONOBERGS LÄN</t>
        </is>
      </c>
      <c r="G325" t="inlineStr">
        <is>
          <t>ÄLMHULT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46242</v>
      </c>
      <c r="F326" t="inlineStr">
        <is>
          <t>KRONOBERGS LÄN</t>
        </is>
      </c>
      <c r="G326" t="inlineStr">
        <is>
          <t>ÄLMHULT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45010</v>
      </c>
      <c r="E327" s="1" t="n">
        <v>46242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32197-2025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46242</v>
      </c>
      <c r="F328" t="inlineStr">
        <is>
          <t>KRONOBERGS LÄN</t>
        </is>
      </c>
      <c r="G328" t="inlineStr">
        <is>
          <t>ÄLMHULT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46242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46242</v>
      </c>
      <c r="F330" t="inlineStr">
        <is>
          <t>KRONOBERGS LÄN</t>
        </is>
      </c>
      <c r="G330" t="inlineStr">
        <is>
          <t>ÄLMHULT</t>
        </is>
      </c>
      <c r="H330" t="inlineStr">
        <is>
          <t>Kyrkan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45167</v>
      </c>
      <c r="E331" s="1" t="n">
        <v>46242</v>
      </c>
      <c r="F331" t="inlineStr">
        <is>
          <t>KRONOBERGS LÄN</t>
        </is>
      </c>
      <c r="G331" t="inlineStr">
        <is>
          <t>ÄLMHULT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46242</v>
      </c>
      <c r="F332" t="inlineStr">
        <is>
          <t>KRONOBERGS LÄN</t>
        </is>
      </c>
      <c r="G332" t="inlineStr">
        <is>
          <t>ÄLMHULT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59803-2025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46242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46242</v>
      </c>
      <c r="F334" t="inlineStr">
        <is>
          <t>KRONOBERGS LÄN</t>
        </is>
      </c>
      <c r="G334" t="inlineStr">
        <is>
          <t>ÄLMHULT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46242</v>
      </c>
      <c r="F335" t="inlineStr">
        <is>
          <t>KRONOBERGS LÄN</t>
        </is>
      </c>
      <c r="G335" t="inlineStr">
        <is>
          <t>ÄLMHULT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45355</v>
      </c>
      <c r="E336" s="1" t="n">
        <v>46242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45722</v>
      </c>
      <c r="E337" s="1" t="n">
        <v>46242</v>
      </c>
      <c r="F337" t="inlineStr">
        <is>
          <t>KRONOBERGS LÄN</t>
        </is>
      </c>
      <c r="G337" t="inlineStr">
        <is>
          <t>ÄLMHULT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46242</v>
      </c>
      <c r="F338" t="inlineStr">
        <is>
          <t>KRONOBERGS LÄN</t>
        </is>
      </c>
      <c r="G338" t="inlineStr">
        <is>
          <t>ÄLMHULT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35102-2024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45529</v>
      </c>
      <c r="E339" s="1" t="n">
        <v>46242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46242</v>
      </c>
      <c r="F340" t="inlineStr">
        <is>
          <t>KRONOBERGS LÄN</t>
        </is>
      </c>
      <c r="G340" t="inlineStr">
        <is>
          <t>ÄLMHULT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59771-2025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45992</v>
      </c>
      <c r="E341" s="1" t="n">
        <v>46242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46242</v>
      </c>
      <c r="F342" t="inlineStr">
        <is>
          <t>KRONOBERGS LÄN</t>
        </is>
      </c>
      <c r="G342" t="inlineStr">
        <is>
          <t>ÄLMHULT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59780-2025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45992</v>
      </c>
      <c r="E343" s="1" t="n">
        <v>46242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46242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46242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46242</v>
      </c>
      <c r="F346" t="inlineStr">
        <is>
          <t>KRONOBERGS LÄN</t>
        </is>
      </c>
      <c r="G346" t="inlineStr">
        <is>
          <t>ÄLMHULT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46242</v>
      </c>
      <c r="F347" t="inlineStr">
        <is>
          <t>KRONOBERGS LÄN</t>
        </is>
      </c>
      <c r="G347" t="inlineStr">
        <is>
          <t>ÄLMHULT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46242</v>
      </c>
      <c r="F348" t="inlineStr">
        <is>
          <t>KRONOBERGS LÄN</t>
        </is>
      </c>
      <c r="G348" t="inlineStr">
        <is>
          <t>ÄLMHULT</t>
        </is>
      </c>
      <c r="H348" t="inlineStr">
        <is>
          <t>Kommuner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48156-2024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46242</v>
      </c>
      <c r="F349" t="inlineStr">
        <is>
          <t>KRONOBERGS LÄN</t>
        </is>
      </c>
      <c r="G349" t="inlineStr">
        <is>
          <t>ÄLMHULT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45010</v>
      </c>
      <c r="E350" s="1" t="n">
        <v>46242</v>
      </c>
      <c r="F350" t="inlineStr">
        <is>
          <t>KRONOBERGS LÄN</t>
        </is>
      </c>
      <c r="G350" t="inlineStr">
        <is>
          <t>ÄLMHULT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46242</v>
      </c>
      <c r="F351" t="inlineStr">
        <is>
          <t>KRONOBERGS LÄN</t>
        </is>
      </c>
      <c r="G351" t="inlineStr">
        <is>
          <t>ÄLMHULT</t>
        </is>
      </c>
      <c r="H351" t="inlineStr">
        <is>
          <t>Kommuner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46242</v>
      </c>
      <c r="F352" t="inlineStr">
        <is>
          <t>KRONOBERGS LÄN</t>
        </is>
      </c>
      <c r="G352" t="inlineStr">
        <is>
          <t>ÄLMHULT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12718-2022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44641</v>
      </c>
      <c r="E353" s="1" t="n">
        <v>46242</v>
      </c>
      <c r="F353" t="inlineStr">
        <is>
          <t>KRONOBERGS LÄN</t>
        </is>
      </c>
      <c r="G353" t="inlineStr">
        <is>
          <t>ÄLMHULT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62812-2023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45271</v>
      </c>
      <c r="E354" s="1" t="n">
        <v>46242</v>
      </c>
      <c r="F354" t="inlineStr">
        <is>
          <t>KRONOBERGS LÄN</t>
        </is>
      </c>
      <c r="G354" t="inlineStr">
        <is>
          <t>ÄLMHULT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46242</v>
      </c>
      <c r="F355" t="inlineStr">
        <is>
          <t>KRONOBERGS LÄN</t>
        </is>
      </c>
      <c r="G355" t="inlineStr">
        <is>
          <t>ÄLMHULT</t>
        </is>
      </c>
      <c r="H355" t="inlineStr">
        <is>
          <t>Kyrkan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45883</v>
      </c>
      <c r="E356" s="1" t="n">
        <v>46242</v>
      </c>
      <c r="F356" t="inlineStr">
        <is>
          <t>KRONOBERGS LÄN</t>
        </is>
      </c>
      <c r="G356" t="inlineStr">
        <is>
          <t>ÄLMHULT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46242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46005</v>
      </c>
      <c r="E358" s="1" t="n">
        <v>46242</v>
      </c>
      <c r="F358" t="inlineStr">
        <is>
          <t>KRONOBERGS LÄN</t>
        </is>
      </c>
      <c r="G358" t="inlineStr">
        <is>
          <t>ÄLMHULT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46242</v>
      </c>
      <c r="F359" t="inlineStr">
        <is>
          <t>KRONOBERGS LÄN</t>
        </is>
      </c>
      <c r="G359" t="inlineStr">
        <is>
          <t>ÄLMHULT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46242</v>
      </c>
      <c r="F360" t="inlineStr">
        <is>
          <t>KRONOBERGS LÄN</t>
        </is>
      </c>
      <c r="G360" t="inlineStr">
        <is>
          <t>ÄLMHULT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44855-2021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44438</v>
      </c>
      <c r="E361" s="1" t="n">
        <v>46242</v>
      </c>
      <c r="F361" t="inlineStr">
        <is>
          <t>KRONOBERGS LÄN</t>
        </is>
      </c>
      <c r="G361" t="inlineStr">
        <is>
          <t>ÄLMHULT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46242</v>
      </c>
      <c r="F362" t="inlineStr">
        <is>
          <t>KRONOBERGS LÄN</t>
        </is>
      </c>
      <c r="G362" t="inlineStr">
        <is>
          <t>ÄLMHULT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27334-2025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45812</v>
      </c>
      <c r="E363" s="1" t="n">
        <v>46242</v>
      </c>
      <c r="F363" t="inlineStr">
        <is>
          <t>KRONOBERGS LÄN</t>
        </is>
      </c>
      <c r="G363" t="inlineStr">
        <is>
          <t>ÄLMHULT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46242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71802-2021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44543</v>
      </c>
      <c r="E365" s="1" t="n">
        <v>46242</v>
      </c>
      <c r="F365" t="inlineStr">
        <is>
          <t>KRONOBERGS LÄN</t>
        </is>
      </c>
      <c r="G365" t="inlineStr">
        <is>
          <t>ÄLMHULT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50031-2022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46242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33311-2025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46242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46242</v>
      </c>
      <c r="F368" t="inlineStr">
        <is>
          <t>KRONOBERGS LÄN</t>
        </is>
      </c>
      <c r="G368" t="inlineStr">
        <is>
          <t>ÄLMHULT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46242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45842</v>
      </c>
      <c r="E370" s="1" t="n">
        <v>46242</v>
      </c>
      <c r="F370" t="inlineStr">
        <is>
          <t>KRONOBERGS LÄN</t>
        </is>
      </c>
      <c r="G370" t="inlineStr">
        <is>
          <t>ÄLMHULT</t>
        </is>
      </c>
      <c r="I370" t="n">
        <v>14.1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46242</v>
      </c>
      <c r="F371" t="inlineStr">
        <is>
          <t>KRONOBERGS LÄN</t>
        </is>
      </c>
      <c r="G371" t="inlineStr">
        <is>
          <t>ÄLMHULT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45048</v>
      </c>
      <c r="E372" s="1" t="n">
        <v>46242</v>
      </c>
      <c r="F372" t="inlineStr">
        <is>
          <t>KRONOBERGS LÄN</t>
        </is>
      </c>
      <c r="G372" t="inlineStr">
        <is>
          <t>ÄLMHULT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45533</v>
      </c>
      <c r="E373" s="1" t="n">
        <v>46242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46242</v>
      </c>
      <c r="F374" t="inlineStr">
        <is>
          <t>KRONOBERGS LÄN</t>
        </is>
      </c>
      <c r="G374" t="inlineStr">
        <is>
          <t>ÄLMHULT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46242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45282</v>
      </c>
      <c r="E376" s="1" t="n">
        <v>46242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45529</v>
      </c>
      <c r="E377" s="1" t="n">
        <v>46242</v>
      </c>
      <c r="F377" t="inlineStr">
        <is>
          <t>KRONOBERGS LÄN</t>
        </is>
      </c>
      <c r="G377" t="inlineStr">
        <is>
          <t>ÄLMHULT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63116-2023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45273</v>
      </c>
      <c r="E378" s="1" t="n">
        <v>46242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46242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46242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46242</v>
      </c>
      <c r="F381" t="inlineStr">
        <is>
          <t>KRONOBERGS LÄN</t>
        </is>
      </c>
      <c r="G381" t="inlineStr">
        <is>
          <t>ÄLMHULT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46242</v>
      </c>
      <c r="F382" t="inlineStr">
        <is>
          <t>KRONOBERGS LÄN</t>
        </is>
      </c>
      <c r="G382" t="inlineStr">
        <is>
          <t>ÄLMHULT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45612</v>
      </c>
      <c r="E383" s="1" t="n">
        <v>46242</v>
      </c>
      <c r="F383" t="inlineStr">
        <is>
          <t>KRONOBERGS LÄN</t>
        </is>
      </c>
      <c r="G383" t="inlineStr">
        <is>
          <t>ÄLMHULT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45615</v>
      </c>
      <c r="E384" s="1" t="n">
        <v>46242</v>
      </c>
      <c r="F384" t="inlineStr">
        <is>
          <t>KRONOBERGS LÄN</t>
        </is>
      </c>
      <c r="G384" t="inlineStr">
        <is>
          <t>ÄLMHULT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46242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45250</v>
      </c>
      <c r="E386" s="1" t="n">
        <v>46242</v>
      </c>
      <c r="F386" t="inlineStr">
        <is>
          <t>KRONOBERGS LÄN</t>
        </is>
      </c>
      <c r="G386" t="inlineStr">
        <is>
          <t>ÄLMHULT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45251</v>
      </c>
      <c r="E387" s="1" t="n">
        <v>46242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45546</v>
      </c>
      <c r="E388" s="1" t="n">
        <v>46242</v>
      </c>
      <c r="F388" t="inlineStr">
        <is>
          <t>KRONOBERGS LÄN</t>
        </is>
      </c>
      <c r="G388" t="inlineStr">
        <is>
          <t>ÄLMHULT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46242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45539</v>
      </c>
      <c r="E390" s="1" t="n">
        <v>46242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45311</v>
      </c>
      <c r="E391" s="1" t="n">
        <v>46242</v>
      </c>
      <c r="F391" t="inlineStr">
        <is>
          <t>KRONOBERGS LÄN</t>
        </is>
      </c>
      <c r="G391" t="inlineStr">
        <is>
          <t>ÄLMHULT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46242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45384</v>
      </c>
      <c r="E393" s="1" t="n">
        <v>46242</v>
      </c>
      <c r="F393" t="inlineStr">
        <is>
          <t>KRONOBERGS LÄN</t>
        </is>
      </c>
      <c r="G393" t="inlineStr">
        <is>
          <t>ÄLMHULT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21384-2026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46147</v>
      </c>
      <c r="E394" s="1" t="n">
        <v>46242</v>
      </c>
      <c r="F394" t="inlineStr">
        <is>
          <t>KRONOBERGS LÄN</t>
        </is>
      </c>
      <c r="G394" t="inlineStr">
        <is>
          <t>ÄLMHULT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46242</v>
      </c>
      <c r="F395" t="inlineStr">
        <is>
          <t>KRONOBERGS LÄN</t>
        </is>
      </c>
      <c r="G395" t="inlineStr">
        <is>
          <t>ÄLMHULT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45374</v>
      </c>
      <c r="E396" s="1" t="n">
        <v>46242</v>
      </c>
      <c r="F396" t="inlineStr">
        <is>
          <t>KRONOBERGS LÄN</t>
        </is>
      </c>
      <c r="G396" t="inlineStr">
        <is>
          <t>ÄLMHULT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46242</v>
      </c>
      <c r="F397" t="inlineStr">
        <is>
          <t>KRONOBERGS LÄN</t>
        </is>
      </c>
      <c r="G397" t="inlineStr">
        <is>
          <t>ÄLMHULT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46242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35346-2025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45854</v>
      </c>
      <c r="E399" s="1" t="n">
        <v>46242</v>
      </c>
      <c r="F399" t="inlineStr">
        <is>
          <t>KRONOBERGS LÄN</t>
        </is>
      </c>
      <c r="G399" t="inlineStr">
        <is>
          <t>ÄLMHULT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45211</v>
      </c>
      <c r="E400" s="1" t="n">
        <v>46242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46242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44979</v>
      </c>
      <c r="E402" s="1" t="n">
        <v>46242</v>
      </c>
      <c r="F402" t="inlineStr">
        <is>
          <t>KRONOBERGS LÄN</t>
        </is>
      </c>
      <c r="G402" t="inlineStr">
        <is>
          <t>ÄLMHULT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45314</v>
      </c>
      <c r="E403" s="1" t="n">
        <v>46242</v>
      </c>
      <c r="F403" t="inlineStr">
        <is>
          <t>KRONOBERGS LÄN</t>
        </is>
      </c>
      <c r="G403" t="inlineStr">
        <is>
          <t>ÄLMHULT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45819</v>
      </c>
      <c r="E404" s="1" t="n">
        <v>46242</v>
      </c>
      <c r="F404" t="inlineStr">
        <is>
          <t>KRONOBERGS LÄN</t>
        </is>
      </c>
      <c r="G404" t="inlineStr">
        <is>
          <t>ÄLMHULT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45581</v>
      </c>
      <c r="E405" s="1" t="n">
        <v>46242</v>
      </c>
      <c r="F405" t="inlineStr">
        <is>
          <t>KRONOBERGS LÄN</t>
        </is>
      </c>
      <c r="G405" t="inlineStr">
        <is>
          <t>ÄLMHULT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18749-2025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46242</v>
      </c>
      <c r="F406" t="inlineStr">
        <is>
          <t>KRONOBERGS LÄN</t>
        </is>
      </c>
      <c r="G406" t="inlineStr">
        <is>
          <t>ÄLMHULT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46242</v>
      </c>
      <c r="F407" t="inlineStr">
        <is>
          <t>KRONOBERGS LÄN</t>
        </is>
      </c>
      <c r="G407" t="inlineStr">
        <is>
          <t>ÄLMHULT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46242</v>
      </c>
      <c r="F408" t="inlineStr">
        <is>
          <t>KRONOBERGS LÄN</t>
        </is>
      </c>
      <c r="G408" t="inlineStr">
        <is>
          <t>ÄLMHULT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45812</v>
      </c>
      <c r="E409" s="1" t="n">
        <v>46242</v>
      </c>
      <c r="F409" t="inlineStr">
        <is>
          <t>KRONOBERGS LÄN</t>
        </is>
      </c>
      <c r="G409" t="inlineStr">
        <is>
          <t>ÄLMHULT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46242</v>
      </c>
      <c r="F410" t="inlineStr">
        <is>
          <t>KRONOBERGS LÄN</t>
        </is>
      </c>
      <c r="G410" t="inlineStr">
        <is>
          <t>ÄLMHULT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45303</v>
      </c>
      <c r="E411" s="1" t="n">
        <v>46242</v>
      </c>
      <c r="F411" t="inlineStr">
        <is>
          <t>KRONOBERGS LÄN</t>
        </is>
      </c>
      <c r="G411" t="inlineStr">
        <is>
          <t>ÄLMHULT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46242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45653</v>
      </c>
      <c r="E413" s="1" t="n">
        <v>46242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45187</v>
      </c>
      <c r="E414" s="1" t="n">
        <v>46242</v>
      </c>
      <c r="F414" t="inlineStr">
        <is>
          <t>KRONOBERGS LÄN</t>
        </is>
      </c>
      <c r="G414" t="inlineStr">
        <is>
          <t>ÄLMHULT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45716</v>
      </c>
      <c r="E415" s="1" t="n">
        <v>46242</v>
      </c>
      <c r="F415" t="inlineStr">
        <is>
          <t>KRONOBERGS LÄN</t>
        </is>
      </c>
      <c r="G415" t="inlineStr">
        <is>
          <t>ÄLMHULT</t>
        </is>
      </c>
      <c r="H415" t="inlineStr">
        <is>
          <t>Sveaskog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46242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46242</v>
      </c>
      <c r="F417" t="inlineStr">
        <is>
          <t>KRONOBERGS LÄN</t>
        </is>
      </c>
      <c r="G417" t="inlineStr">
        <is>
          <t>ÄLMHULT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7911-2023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46242</v>
      </c>
      <c r="F418" t="inlineStr">
        <is>
          <t>KRONOBERGS LÄN</t>
        </is>
      </c>
      <c r="G418" t="inlineStr">
        <is>
          <t>ÄLMHULT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44942</v>
      </c>
      <c r="E419" s="1" t="n">
        <v>46242</v>
      </c>
      <c r="F419" t="inlineStr">
        <is>
          <t>KRONOBERGS LÄN</t>
        </is>
      </c>
      <c r="G419" t="inlineStr">
        <is>
          <t>ÄLMHULT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46242</v>
      </c>
      <c r="F420" t="inlineStr">
        <is>
          <t>KRONOBERGS LÄN</t>
        </is>
      </c>
      <c r="G420" t="inlineStr">
        <is>
          <t>ÄLMHULT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22335-2026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46242</v>
      </c>
      <c r="F421" t="inlineStr">
        <is>
          <t>KRONOBERGS LÄN</t>
        </is>
      </c>
      <c r="G421" t="inlineStr">
        <is>
          <t>ÄLMHULT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45061</v>
      </c>
      <c r="E422" s="1" t="n">
        <v>46242</v>
      </c>
      <c r="F422" t="inlineStr">
        <is>
          <t>KRONOBERGS LÄN</t>
        </is>
      </c>
      <c r="G422" t="inlineStr">
        <is>
          <t>ÄLMHULT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59124-2022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44897</v>
      </c>
      <c r="E423" s="1" t="n">
        <v>46242</v>
      </c>
      <c r="F423" t="inlineStr">
        <is>
          <t>KRONOBERGS LÄN</t>
        </is>
      </c>
      <c r="G423" t="inlineStr">
        <is>
          <t>ÄLMHULT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46242</v>
      </c>
      <c r="F424" t="inlineStr">
        <is>
          <t>KRONOBERGS LÄN</t>
        </is>
      </c>
      <c r="G424" t="inlineStr">
        <is>
          <t>ÄLMHULT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46242</v>
      </c>
      <c r="F425" t="inlineStr">
        <is>
          <t>KRONOBERGS LÄN</t>
        </is>
      </c>
      <c r="G425" t="inlineStr">
        <is>
          <t>ÄLMHULT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46242</v>
      </c>
      <c r="F426" t="inlineStr">
        <is>
          <t>KRONOBERGS LÄN</t>
        </is>
      </c>
      <c r="G426" t="inlineStr">
        <is>
          <t>ÄLMHULT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36157-2025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45867</v>
      </c>
      <c r="E427" s="1" t="n">
        <v>46242</v>
      </c>
      <c r="F427" t="inlineStr">
        <is>
          <t>KRONOBERGS LÄN</t>
        </is>
      </c>
      <c r="G427" t="inlineStr">
        <is>
          <t>ÄLMHULT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56955-2024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45628</v>
      </c>
      <c r="E428" s="1" t="n">
        <v>46242</v>
      </c>
      <c r="F428" t="inlineStr">
        <is>
          <t>KRONOBERGS LÄN</t>
        </is>
      </c>
      <c r="G428" t="inlineStr">
        <is>
          <t>ÄLMHULT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46242</v>
      </c>
      <c r="F429" t="inlineStr">
        <is>
          <t>KRONOBERGS LÄN</t>
        </is>
      </c>
      <c r="G429" t="inlineStr">
        <is>
          <t>ÄLMHULT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46242</v>
      </c>
      <c r="F430" t="inlineStr">
        <is>
          <t>KRONOBERGS LÄN</t>
        </is>
      </c>
      <c r="G430" t="inlineStr">
        <is>
          <t>ÄLMHULT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45352</v>
      </c>
      <c r="E431" s="1" t="n">
        <v>46242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46242</v>
      </c>
      <c r="F432" t="inlineStr">
        <is>
          <t>KRONOBERGS LÄN</t>
        </is>
      </c>
      <c r="G432" t="inlineStr">
        <is>
          <t>ÄLMHULT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45513</v>
      </c>
      <c r="E433" s="1" t="n">
        <v>46242</v>
      </c>
      <c r="F433" t="inlineStr">
        <is>
          <t>KRONOBERGS LÄN</t>
        </is>
      </c>
      <c r="G433" t="inlineStr">
        <is>
          <t>ÄLMHULT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46242</v>
      </c>
      <c r="F434" t="inlineStr">
        <is>
          <t>KRONOBERGS LÄN</t>
        </is>
      </c>
      <c r="G434" t="inlineStr">
        <is>
          <t>ÄLMHULT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46242</v>
      </c>
      <c r="F435" t="inlineStr">
        <is>
          <t>KRONOBERGS LÄN</t>
        </is>
      </c>
      <c r="G435" t="inlineStr">
        <is>
          <t>ÄLMHULT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46242</v>
      </c>
      <c r="F436" t="inlineStr">
        <is>
          <t>KRONOBERGS LÄN</t>
        </is>
      </c>
      <c r="G436" t="inlineStr">
        <is>
          <t>ÄLMHULT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46472-2023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46242</v>
      </c>
      <c r="F437" t="inlineStr">
        <is>
          <t>KRONOBERGS LÄN</t>
        </is>
      </c>
      <c r="G437" t="inlineStr">
        <is>
          <t>ÄLMHULT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44853</v>
      </c>
      <c r="E438" s="1" t="n">
        <v>46242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45251</v>
      </c>
      <c r="E439" s="1" t="n">
        <v>46242</v>
      </c>
      <c r="F439" t="inlineStr">
        <is>
          <t>KRONOBERGS LÄN</t>
        </is>
      </c>
      <c r="G439" t="inlineStr">
        <is>
          <t>ÄLMHULT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46242</v>
      </c>
      <c r="F440" t="inlineStr">
        <is>
          <t>KRONOBERGS LÄN</t>
        </is>
      </c>
      <c r="G440" t="inlineStr">
        <is>
          <t>ÄLMHULT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46242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46242</v>
      </c>
      <c r="F442" t="inlineStr">
        <is>
          <t>KRONOBERGS LÄN</t>
        </is>
      </c>
      <c r="G442" t="inlineStr">
        <is>
          <t>ÄLMHULT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46242</v>
      </c>
      <c r="F443" t="inlineStr">
        <is>
          <t>KRONOBERGS LÄN</t>
        </is>
      </c>
      <c r="G443" t="inlineStr">
        <is>
          <t>ÄLMHULT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46242</v>
      </c>
      <c r="F444" t="inlineStr">
        <is>
          <t>KRONOBERGS LÄN</t>
        </is>
      </c>
      <c r="G444" t="inlineStr">
        <is>
          <t>ÄLMHULT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46163</v>
      </c>
      <c r="E445" s="1" t="n">
        <v>46242</v>
      </c>
      <c r="F445" t="inlineStr">
        <is>
          <t>KRONOBERGS LÄN</t>
        </is>
      </c>
      <c r="G445" t="inlineStr">
        <is>
          <t>ÄLMHULT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48687-2022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44855</v>
      </c>
      <c r="E446" s="1" t="n">
        <v>46242</v>
      </c>
      <c r="F446" t="inlineStr">
        <is>
          <t>KRONOBERGS LÄN</t>
        </is>
      </c>
      <c r="G446" t="inlineStr">
        <is>
          <t>ÄLMHULT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44942</v>
      </c>
      <c r="E447" s="1" t="n">
        <v>46242</v>
      </c>
      <c r="F447" t="inlineStr">
        <is>
          <t>KRONOBERGS LÄN</t>
        </is>
      </c>
      <c r="G447" t="inlineStr">
        <is>
          <t>ÄLMHULT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45680</v>
      </c>
      <c r="E448" s="1" t="n">
        <v>46242</v>
      </c>
      <c r="F448" t="inlineStr">
        <is>
          <t>KRONOBERGS LÄN</t>
        </is>
      </c>
      <c r="G448" t="inlineStr">
        <is>
          <t>ÄLMHULT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46242</v>
      </c>
      <c r="F449" t="inlineStr">
        <is>
          <t>KRONOBERGS LÄN</t>
        </is>
      </c>
      <c r="G449" t="inlineStr">
        <is>
          <t>ÄLMHULT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25311-2024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46242</v>
      </c>
      <c r="F450" t="inlineStr">
        <is>
          <t>KRONOBERGS LÄN</t>
        </is>
      </c>
      <c r="G450" t="inlineStr">
        <is>
          <t>ÄLMHULT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45412</v>
      </c>
      <c r="E451" s="1" t="n">
        <v>46242</v>
      </c>
      <c r="F451" t="inlineStr">
        <is>
          <t>KRONOBERGS LÄN</t>
        </is>
      </c>
      <c r="G451" t="inlineStr">
        <is>
          <t>ÄLMHULT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46242</v>
      </c>
      <c r="F452" t="inlineStr">
        <is>
          <t>KRONOBERGS LÄN</t>
        </is>
      </c>
      <c r="G452" t="inlineStr">
        <is>
          <t>ÄLMHULT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46242</v>
      </c>
      <c r="F453" t="inlineStr">
        <is>
          <t>KRONOBERGS LÄN</t>
        </is>
      </c>
      <c r="G453" t="inlineStr">
        <is>
          <t>ÄLMHULT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45421</v>
      </c>
      <c r="E454" s="1" t="n">
        <v>46242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45558</v>
      </c>
      <c r="E455" s="1" t="n">
        <v>46242</v>
      </c>
      <c r="F455" t="inlineStr">
        <is>
          <t>KRONOBERGS LÄN</t>
        </is>
      </c>
      <c r="G455" t="inlineStr">
        <is>
          <t>ÄLMHULT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46242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43140-2024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45567</v>
      </c>
      <c r="E457" s="1" t="n">
        <v>46242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62429-2023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45268</v>
      </c>
      <c r="E458" s="1" t="n">
        <v>46242</v>
      </c>
      <c r="F458" t="inlineStr">
        <is>
          <t>KRONOBERGS LÄN</t>
        </is>
      </c>
      <c r="G458" t="inlineStr">
        <is>
          <t>ÄLMHULT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46242</v>
      </c>
      <c r="F459" t="inlineStr">
        <is>
          <t>KRONOBERGS LÄN</t>
        </is>
      </c>
      <c r="G459" t="inlineStr">
        <is>
          <t>ÄLMHULT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44930</v>
      </c>
      <c r="E460" s="1" t="n">
        <v>46242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29753-2026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46242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55629-2021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44476</v>
      </c>
      <c r="E462" s="1" t="n">
        <v>46242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46242</v>
      </c>
      <c r="F463" t="inlineStr">
        <is>
          <t>KRONOBERGS LÄN</t>
        </is>
      </c>
      <c r="G463" t="inlineStr">
        <is>
          <t>ÄLMHULT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45698</v>
      </c>
      <c r="E464" s="1" t="n">
        <v>46242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45177</v>
      </c>
      <c r="E465" s="1" t="n">
        <v>46242</v>
      </c>
      <c r="F465" t="inlineStr">
        <is>
          <t>KRONOBERGS LÄN</t>
        </is>
      </c>
      <c r="G465" t="inlineStr">
        <is>
          <t>ÄLMHULT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28026-2024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45476</v>
      </c>
      <c r="E466" s="1" t="n">
        <v>46242</v>
      </c>
      <c r="F466" t="inlineStr">
        <is>
          <t>KRONOBERGS LÄN</t>
        </is>
      </c>
      <c r="G466" t="inlineStr">
        <is>
          <t>ÄLMHULT</t>
        </is>
      </c>
      <c r="I466" t="n">
        <v>11.8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11014-2023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44986</v>
      </c>
      <c r="E467" s="1" t="n">
        <v>46242</v>
      </c>
      <c r="F467" t="inlineStr">
        <is>
          <t>KRONOBERGS LÄN</t>
        </is>
      </c>
      <c r="G467" t="inlineStr">
        <is>
          <t>ÄLMHULT</t>
        </is>
      </c>
      <c r="H467" t="inlineStr">
        <is>
          <t>Kyrkan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46242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46242</v>
      </c>
      <c r="F469" t="inlineStr">
        <is>
          <t>KRONOBERGS LÄN</t>
        </is>
      </c>
      <c r="G469" t="inlineStr">
        <is>
          <t>ÄLMHULT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46242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46216</v>
      </c>
      <c r="E471" s="1" t="n">
        <v>46242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46242</v>
      </c>
      <c r="F472" t="inlineStr">
        <is>
          <t>KRONOBERGS LÄN</t>
        </is>
      </c>
      <c r="G472" t="inlineStr">
        <is>
          <t>ÄLMHULT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46242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41485-2023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46242</v>
      </c>
      <c r="F474" t="inlineStr">
        <is>
          <t>KRONOBERGS LÄN</t>
        </is>
      </c>
      <c r="G474" t="inlineStr">
        <is>
          <t>ÄLMHULT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45677</v>
      </c>
      <c r="E475" s="1" t="n">
        <v>46242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46242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46242</v>
      </c>
      <c r="F477" t="inlineStr">
        <is>
          <t>KRONOBERGS LÄN</t>
        </is>
      </c>
      <c r="G477" t="inlineStr">
        <is>
          <t>ÄLMHULT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45081</v>
      </c>
      <c r="E478" s="1" t="n">
        <v>46242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45911</v>
      </c>
      <c r="E479" s="1" t="n">
        <v>46242</v>
      </c>
      <c r="F479" t="inlineStr">
        <is>
          <t>KRONOBERGS LÄN</t>
        </is>
      </c>
      <c r="G479" t="inlineStr">
        <is>
          <t>ÄLMHULT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46216</v>
      </c>
      <c r="E480" s="1" t="n">
        <v>46242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46242</v>
      </c>
      <c r="F481" t="inlineStr">
        <is>
          <t>KRONOBERGS LÄN</t>
        </is>
      </c>
      <c r="G481" t="inlineStr">
        <is>
          <t>ÄLMHULT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46216</v>
      </c>
      <c r="E482" s="1" t="n">
        <v>46242</v>
      </c>
      <c r="F482" t="inlineStr">
        <is>
          <t>KRONOBERGS LÄN</t>
        </is>
      </c>
      <c r="G482" t="inlineStr">
        <is>
          <t>ÄLMHULT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64999-2023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45286</v>
      </c>
      <c r="E483" s="1" t="n">
        <v>46242</v>
      </c>
      <c r="F483" t="inlineStr">
        <is>
          <t>KRONOBERGS LÄN</t>
        </is>
      </c>
      <c r="G483" t="inlineStr">
        <is>
          <t>ÄLMHULT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49442-2024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45595</v>
      </c>
      <c r="E484" s="1" t="n">
        <v>46242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44942</v>
      </c>
      <c r="E485" s="1" t="n">
        <v>46242</v>
      </c>
      <c r="F485" t="inlineStr">
        <is>
          <t>KRONOBERGS LÄN</t>
        </is>
      </c>
      <c r="G485" t="inlineStr">
        <is>
          <t>ÄLMHULT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45391</v>
      </c>
      <c r="E486" s="1" t="n">
        <v>46242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45181</v>
      </c>
      <c r="E487" s="1" t="n">
        <v>46242</v>
      </c>
      <c r="F487" t="inlineStr">
        <is>
          <t>KRONOBERGS LÄN</t>
        </is>
      </c>
      <c r="G487" t="inlineStr">
        <is>
          <t>ÄLMHULT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11585-2024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45373</v>
      </c>
      <c r="E488" s="1" t="n">
        <v>46242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46242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38838-2025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45887</v>
      </c>
      <c r="E490" s="1" t="n">
        <v>46242</v>
      </c>
      <c r="F490" t="inlineStr">
        <is>
          <t>KRONOBERGS LÄN</t>
        </is>
      </c>
      <c r="G490" t="inlineStr">
        <is>
          <t>ÄLMHULT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37015-2023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45155</v>
      </c>
      <c r="E491" s="1" t="n">
        <v>46242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45564</v>
      </c>
      <c r="E492" s="1" t="n">
        <v>46242</v>
      </c>
      <c r="F492" t="inlineStr">
        <is>
          <t>KRONOBERGS LÄN</t>
        </is>
      </c>
      <c r="G492" t="inlineStr">
        <is>
          <t>ÄLMHULT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45010</v>
      </c>
      <c r="E493" s="1" t="n">
        <v>46242</v>
      </c>
      <c r="F493" t="inlineStr">
        <is>
          <t>KRONOBERGS LÄN</t>
        </is>
      </c>
      <c r="G493" t="inlineStr">
        <is>
          <t>ÄLMHULT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46242</v>
      </c>
      <c r="F494" t="inlineStr">
        <is>
          <t>KRONOBERGS LÄN</t>
        </is>
      </c>
      <c r="G494" t="inlineStr">
        <is>
          <t>ÄLMHULT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45214</v>
      </c>
      <c r="E495" s="1" t="n">
        <v>46242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50541-2023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46242</v>
      </c>
      <c r="F496" t="inlineStr">
        <is>
          <t>KRONOBERGS LÄN</t>
        </is>
      </c>
      <c r="G496" t="inlineStr">
        <is>
          <t>ÄLMHULT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37297-2023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45156</v>
      </c>
      <c r="E497" s="1" t="n">
        <v>46242</v>
      </c>
      <c r="F497" t="inlineStr">
        <is>
          <t>KRONOBERGS LÄN</t>
        </is>
      </c>
      <c r="G497" t="inlineStr">
        <is>
          <t>ÄLMHULT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44942</v>
      </c>
      <c r="E498" s="1" t="n">
        <v>46242</v>
      </c>
      <c r="F498" t="inlineStr">
        <is>
          <t>KRONOBERGS LÄN</t>
        </is>
      </c>
      <c r="G498" t="inlineStr">
        <is>
          <t>ÄLMHULT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45539</v>
      </c>
      <c r="E499" s="1" t="n">
        <v>46242</v>
      </c>
      <c r="F499" t="inlineStr">
        <is>
          <t>KRONOBERGS LÄN</t>
        </is>
      </c>
      <c r="G499" t="inlineStr">
        <is>
          <t>ÄLMHULT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45355</v>
      </c>
      <c r="E500" s="1" t="n">
        <v>46242</v>
      </c>
      <c r="F500" t="inlineStr">
        <is>
          <t>KRONOBERGS LÄN</t>
        </is>
      </c>
      <c r="G500" t="inlineStr">
        <is>
          <t>ÄLMHULT</t>
        </is>
      </c>
      <c r="H500" t="inlineStr">
        <is>
          <t>Sveaskog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54500-2022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44882</v>
      </c>
      <c r="E501" s="1" t="n">
        <v>46242</v>
      </c>
      <c r="F501" t="inlineStr">
        <is>
          <t>KRONOBERGS LÄN</t>
        </is>
      </c>
      <c r="G501" t="inlineStr">
        <is>
          <t>ÄLMHULT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45175</v>
      </c>
      <c r="E502" s="1" t="n">
        <v>46242</v>
      </c>
      <c r="F502" t="inlineStr">
        <is>
          <t>KRONOBERGS LÄN</t>
        </is>
      </c>
      <c r="G502" t="inlineStr">
        <is>
          <t>ÄLMHULT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41577-2023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45175</v>
      </c>
      <c r="E503" s="1" t="n">
        <v>46242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46226</v>
      </c>
      <c r="E504" s="1" t="n">
        <v>46242</v>
      </c>
      <c r="F504" t="inlineStr">
        <is>
          <t>KRONOBERGS LÄN</t>
        </is>
      </c>
      <c r="G504" t="inlineStr">
        <is>
          <t>ÄLMHULT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46242</v>
      </c>
      <c r="F505" t="inlineStr">
        <is>
          <t>KRONOBERGS LÄN</t>
        </is>
      </c>
      <c r="G505" t="inlineStr">
        <is>
          <t>ÄLMHULT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23377-2023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45076</v>
      </c>
      <c r="E506" s="1" t="n">
        <v>46242</v>
      </c>
      <c r="F506" t="inlineStr">
        <is>
          <t>KRONOBERGS LÄN</t>
        </is>
      </c>
      <c r="G506" t="inlineStr">
        <is>
          <t>ÄLMHULT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46242</v>
      </c>
      <c r="F507" t="inlineStr">
        <is>
          <t>KRONOBERGS LÄN</t>
        </is>
      </c>
      <c r="G507" t="inlineStr">
        <is>
          <t>ÄLMHULT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46242</v>
      </c>
      <c r="F508" t="inlineStr">
        <is>
          <t>KRONOBERGS LÄN</t>
        </is>
      </c>
      <c r="G508" t="inlineStr">
        <is>
          <t>ÄLMHULT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46242</v>
      </c>
      <c r="F509" t="inlineStr">
        <is>
          <t>KRONOBERGS LÄN</t>
        </is>
      </c>
      <c r="G509" t="inlineStr">
        <is>
          <t>ÄLMHULT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46242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46242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46227</v>
      </c>
      <c r="E512" s="1" t="n">
        <v>46242</v>
      </c>
      <c r="F512" t="inlineStr">
        <is>
          <t>KRONOBERGS LÄN</t>
        </is>
      </c>
      <c r="G512" t="inlineStr">
        <is>
          <t>ÄLMHULT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61968-2024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45653</v>
      </c>
      <c r="E513" s="1" t="n">
        <v>46242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68212-2021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44526</v>
      </c>
      <c r="E514" s="1" t="n">
        <v>46242</v>
      </c>
      <c r="F514" t="inlineStr">
        <is>
          <t>KRONOBERGS LÄN</t>
        </is>
      </c>
      <c r="G514" t="inlineStr">
        <is>
          <t>ÄLMHULT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45612</v>
      </c>
      <c r="E515" s="1" t="n">
        <v>46242</v>
      </c>
      <c r="F515" t="inlineStr">
        <is>
          <t>KRONOBERGS LÄN</t>
        </is>
      </c>
      <c r="G515" t="inlineStr">
        <is>
          <t>ÄLMHULT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45625</v>
      </c>
      <c r="E516" s="1" t="n">
        <v>46242</v>
      </c>
      <c r="F516" t="inlineStr">
        <is>
          <t>KRONOBERGS LÄN</t>
        </is>
      </c>
      <c r="G516" t="inlineStr">
        <is>
          <t>ÄLMHULT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38823-2022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44816</v>
      </c>
      <c r="E517" s="1" t="n">
        <v>46242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45222</v>
      </c>
      <c r="E518" s="1" t="n">
        <v>46242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46242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45435</v>
      </c>
      <c r="E520" s="1" t="n">
        <v>46242</v>
      </c>
      <c r="F520" t="inlineStr">
        <is>
          <t>KRONOBERGS LÄN</t>
        </is>
      </c>
      <c r="G520" t="inlineStr">
        <is>
          <t>ÄLMHULT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45435</v>
      </c>
      <c r="E521" s="1" t="n">
        <v>46242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45435</v>
      </c>
      <c r="E522" s="1" t="n">
        <v>46242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60487-2022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46242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45748</v>
      </c>
      <c r="E524" s="1" t="n">
        <v>46242</v>
      </c>
      <c r="F524" t="inlineStr">
        <is>
          <t>KRONOBERGS LÄN</t>
        </is>
      </c>
      <c r="G524" t="inlineStr">
        <is>
          <t>ÄLMHULT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12339-2024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45378</v>
      </c>
      <c r="E525" s="1" t="n">
        <v>46242</v>
      </c>
      <c r="F525" t="inlineStr">
        <is>
          <t>KRONOBERGS LÄN</t>
        </is>
      </c>
      <c r="G525" t="inlineStr">
        <is>
          <t>ÄLMHULT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34794-2023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45141</v>
      </c>
      <c r="E526" s="1" t="n">
        <v>46242</v>
      </c>
      <c r="F526" t="inlineStr">
        <is>
          <t>KRONOBERGS LÄN</t>
        </is>
      </c>
      <c r="G526" t="inlineStr">
        <is>
          <t>ÄLMHULT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11188-2023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46242</v>
      </c>
      <c r="F527" t="inlineStr">
        <is>
          <t>KRONOBERGS LÄN</t>
        </is>
      </c>
      <c r="G527" t="inlineStr">
        <is>
          <t>ÄLMHULT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44992</v>
      </c>
      <c r="E528" s="1" t="n">
        <v>46242</v>
      </c>
      <c r="F528" t="inlineStr">
        <is>
          <t>KRONOBERGS LÄN</t>
        </is>
      </c>
      <c r="G528" t="inlineStr">
        <is>
          <t>ÄLMHULT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46242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45202</v>
      </c>
      <c r="E530" s="1" t="n">
        <v>46242</v>
      </c>
      <c r="F530" t="inlineStr">
        <is>
          <t>KRONOBERGS LÄN</t>
        </is>
      </c>
      <c r="G530" t="inlineStr">
        <is>
          <t>ÄLMHULT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32126-2026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46234</v>
      </c>
      <c r="E531" s="1" t="n">
        <v>46242</v>
      </c>
      <c r="F531" t="inlineStr">
        <is>
          <t>KRONOBERGS LÄN</t>
        </is>
      </c>
      <c r="G531" t="inlineStr">
        <is>
          <t>ÄLMHULT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47897-2024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45588</v>
      </c>
      <c r="E532" s="1" t="n">
        <v>46242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57574-2023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46242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50183-2022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44865</v>
      </c>
      <c r="E534" s="1" t="n">
        <v>46242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44698</v>
      </c>
      <c r="E535" s="1" t="n">
        <v>46242</v>
      </c>
      <c r="F535" t="inlineStr">
        <is>
          <t>KRONOBERGS LÄN</t>
        </is>
      </c>
      <c r="G535" t="inlineStr">
        <is>
          <t>ÄLMHULT</t>
        </is>
      </c>
      <c r="I535" t="n">
        <v>11.9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44672-2023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46242</v>
      </c>
      <c r="F536" t="inlineStr">
        <is>
          <t>KRONOBERGS LÄN</t>
        </is>
      </c>
      <c r="G536" t="inlineStr">
        <is>
          <t>ÄLMHULT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46242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46242</v>
      </c>
      <c r="F538" t="inlineStr">
        <is>
          <t>KRONOBERGS LÄN</t>
        </is>
      </c>
      <c r="G538" t="inlineStr">
        <is>
          <t>ÄLMHULT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28707-2026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46242</v>
      </c>
      <c r="F539" t="inlineStr">
        <is>
          <t>KRONOBERGS LÄN</t>
        </is>
      </c>
      <c r="G539" t="inlineStr">
        <is>
          <t>ÄLMHULT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46242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46242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46242</v>
      </c>
      <c r="F542" t="inlineStr">
        <is>
          <t>KRONOBERGS LÄN</t>
        </is>
      </c>
      <c r="G542" t="inlineStr">
        <is>
          <t>ÄLMHULT</t>
        </is>
      </c>
      <c r="H542" t="inlineStr">
        <is>
          <t>Sveaskog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18575-2022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44687</v>
      </c>
      <c r="E543" s="1" t="n">
        <v>46242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46242</v>
      </c>
      <c r="F544" t="inlineStr">
        <is>
          <t>KRONOBERGS LÄN</t>
        </is>
      </c>
      <c r="G544" t="inlineStr">
        <is>
          <t>ÄLMHULT</t>
        </is>
      </c>
      <c r="H544" t="inlineStr">
        <is>
          <t>Kyrkan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46240</v>
      </c>
      <c r="E545" s="1" t="n">
        <v>46242</v>
      </c>
      <c r="F545" t="inlineStr">
        <is>
          <t>KRONOBERGS LÄN</t>
        </is>
      </c>
      <c r="G545" t="inlineStr">
        <is>
          <t>ÄLMHULT</t>
        </is>
      </c>
      <c r="H545" t="inlineStr">
        <is>
          <t>Kyrkan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45467</v>
      </c>
      <c r="E546" s="1" t="n">
        <v>46242</v>
      </c>
      <c r="F546" t="inlineStr">
        <is>
          <t>KRONOBERGS LÄN</t>
        </is>
      </c>
      <c r="G546" t="inlineStr">
        <is>
          <t>ÄLMHULT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45211</v>
      </c>
      <c r="E547" s="1" t="n">
        <v>46242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46242</v>
      </c>
      <c r="F548" t="inlineStr">
        <is>
          <t>KRONOBERGS LÄN</t>
        </is>
      </c>
      <c r="G548" t="inlineStr">
        <is>
          <t>ÄLMHULT</t>
        </is>
      </c>
      <c r="H548" t="inlineStr">
        <is>
          <t>Kyrkan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43903-2023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46242</v>
      </c>
      <c r="F549" t="inlineStr">
        <is>
          <t>KRONOBERGS LÄN</t>
        </is>
      </c>
      <c r="G549" t="inlineStr">
        <is>
          <t>ÄLMHULT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23104-2024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45450</v>
      </c>
      <c r="E550" s="1" t="n">
        <v>46242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45253</v>
      </c>
      <c r="E551" s="1" t="n">
        <v>46242</v>
      </c>
      <c r="F551" t="inlineStr">
        <is>
          <t>KRONOBERGS LÄN</t>
        </is>
      </c>
      <c r="G551" t="inlineStr">
        <is>
          <t>ÄLMHULT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46242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50073-2023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45215</v>
      </c>
      <c r="E553" s="1" t="n">
        <v>46242</v>
      </c>
      <c r="F553" t="inlineStr">
        <is>
          <t>KRONOBERGS LÄN</t>
        </is>
      </c>
      <c r="G553" t="inlineStr">
        <is>
          <t>ÄLMHULT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45078</v>
      </c>
      <c r="E554" s="1" t="n">
        <v>46242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44445-2024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46242</v>
      </c>
      <c r="F555" t="inlineStr">
        <is>
          <t>KRONOBERGS LÄN</t>
        </is>
      </c>
      <c r="G555" t="inlineStr">
        <is>
          <t>ÄLMHULT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46242</v>
      </c>
      <c r="F556" t="inlineStr">
        <is>
          <t>KRONOBERGS LÄN</t>
        </is>
      </c>
      <c r="G556" t="inlineStr">
        <is>
          <t>ÄLMHULT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46242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45687</v>
      </c>
      <c r="E558" s="1" t="n">
        <v>46242</v>
      </c>
      <c r="F558" t="inlineStr">
        <is>
          <t>KRONOBERGS LÄN</t>
        </is>
      </c>
      <c r="G558" t="inlineStr">
        <is>
          <t>ÄLMHULT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48282-2022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46242</v>
      </c>
      <c r="F559" t="inlineStr">
        <is>
          <t>KRONOBERGS LÄN</t>
        </is>
      </c>
      <c r="G559" t="inlineStr">
        <is>
          <t>ÄLMHULT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37064-2024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45539</v>
      </c>
      <c r="E560" s="1" t="n">
        <v>46242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52332-2024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46242</v>
      </c>
      <c r="F561" t="inlineStr">
        <is>
          <t>KRONOBERGS LÄN</t>
        </is>
      </c>
      <c r="G561" t="inlineStr">
        <is>
          <t>ÄLMHULT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69444-2021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44531</v>
      </c>
      <c r="E562" s="1" t="n">
        <v>46242</v>
      </c>
      <c r="F562" t="inlineStr">
        <is>
          <t>KRONOBERGS LÄN</t>
        </is>
      </c>
      <c r="G562" t="inlineStr">
        <is>
          <t>ÄLMHULT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19295-2023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45049</v>
      </c>
      <c r="E563" s="1" t="n">
        <v>46242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45679</v>
      </c>
      <c r="E564" s="1" t="n">
        <v>46242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48559-2022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44859</v>
      </c>
      <c r="E565" s="1" t="n">
        <v>46242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69454-2021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44531</v>
      </c>
      <c r="E566" s="1" t="n">
        <v>46242</v>
      </c>
      <c r="F566" t="inlineStr">
        <is>
          <t>KRONOBERGS LÄN</t>
        </is>
      </c>
      <c r="G566" t="inlineStr">
        <is>
          <t>ÄLMHULT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22415-2024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45446</v>
      </c>
      <c r="E567" s="1" t="n">
        <v>46242</v>
      </c>
      <c r="F567" t="inlineStr">
        <is>
          <t>KRONOBERGS LÄN</t>
        </is>
      </c>
      <c r="G567" t="inlineStr">
        <is>
          <t>ÄLMHULT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54105-2024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45616</v>
      </c>
      <c r="E568" s="1" t="n">
        <v>46242</v>
      </c>
      <c r="F568" t="inlineStr">
        <is>
          <t>KRONOBERGS LÄN</t>
        </is>
      </c>
      <c r="G568" t="inlineStr">
        <is>
          <t>ÄLMHULT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44587</v>
      </c>
      <c r="E569" s="1" t="n">
        <v>46242</v>
      </c>
      <c r="F569" t="inlineStr">
        <is>
          <t>KRONOBERGS LÄN</t>
        </is>
      </c>
      <c r="G569" t="inlineStr">
        <is>
          <t>ÄLMHULT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45770</v>
      </c>
      <c r="E570" s="1" t="n">
        <v>46242</v>
      </c>
      <c r="F570" t="inlineStr">
        <is>
          <t>KRONOBERGS LÄN</t>
        </is>
      </c>
      <c r="G570" t="inlineStr">
        <is>
          <t>ÄLMHULT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44582</v>
      </c>
      <c r="E571" s="1" t="n">
        <v>46242</v>
      </c>
      <c r="F571" t="inlineStr">
        <is>
          <t>KRONOBERGS LÄN</t>
        </is>
      </c>
      <c r="G571" t="inlineStr">
        <is>
          <t>ÄLMHULT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45759</v>
      </c>
      <c r="E572" s="1" t="n">
        <v>46242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46242</v>
      </c>
      <c r="F573" t="inlineStr">
        <is>
          <t>KRONOBERGS LÄN</t>
        </is>
      </c>
      <c r="G573" t="inlineStr">
        <is>
          <t>ÄLMHULT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59114-2022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44897</v>
      </c>
      <c r="E574" s="1" t="n">
        <v>46242</v>
      </c>
      <c r="F574" t="inlineStr">
        <is>
          <t>KRONOBERGS LÄN</t>
        </is>
      </c>
      <c r="G574" t="inlineStr">
        <is>
          <t>ÄLMHULT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48145-2021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44449</v>
      </c>
      <c r="E575" s="1" t="n">
        <v>46242</v>
      </c>
      <c r="F575" t="inlineStr">
        <is>
          <t>KRONOBERGS LÄN</t>
        </is>
      </c>
      <c r="G575" t="inlineStr">
        <is>
          <t>ÄLMHULT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46740-2024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45583</v>
      </c>
      <c r="E576" s="1" t="n">
        <v>46242</v>
      </c>
      <c r="F576" t="inlineStr">
        <is>
          <t>KRONOBERGS LÄN</t>
        </is>
      </c>
      <c r="G576" t="inlineStr">
        <is>
          <t>ÄLMHULT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46242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45469</v>
      </c>
      <c r="E578" s="1" t="n">
        <v>46242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15568-2024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45401</v>
      </c>
      <c r="E579" s="1" t="n">
        <v>46242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46242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26454-2023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45092</v>
      </c>
      <c r="E581" s="1" t="n">
        <v>46242</v>
      </c>
      <c r="F581" t="inlineStr">
        <is>
          <t>KRONOBERGS LÄN</t>
        </is>
      </c>
      <c r="G581" t="inlineStr">
        <is>
          <t>ÄLMHULT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46242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30370-2022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44760</v>
      </c>
      <c r="E583" s="1" t="n">
        <v>46242</v>
      </c>
      <c r="F583" t="inlineStr">
        <is>
          <t>KRONOBERGS LÄN</t>
        </is>
      </c>
      <c r="G583" t="inlineStr">
        <is>
          <t>ÄLMHULT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68189-2021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44526</v>
      </c>
      <c r="E584" s="1" t="n">
        <v>46242</v>
      </c>
      <c r="F584" t="inlineStr">
        <is>
          <t>KRONOBERGS LÄN</t>
        </is>
      </c>
      <c r="G584" t="inlineStr">
        <is>
          <t>ÄLMHULT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62481-2023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45268</v>
      </c>
      <c r="E585" s="1" t="n">
        <v>46242</v>
      </c>
      <c r="F585" t="inlineStr">
        <is>
          <t>KRONOBERGS LÄN</t>
        </is>
      </c>
      <c r="G585" t="inlineStr">
        <is>
          <t>ÄLMHULT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45440</v>
      </c>
      <c r="E586" s="1" t="n">
        <v>46242</v>
      </c>
      <c r="F586" t="inlineStr">
        <is>
          <t>KRONOBERGS LÄN</t>
        </is>
      </c>
      <c r="G586" t="inlineStr">
        <is>
          <t>ÄLMHULT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45244</v>
      </c>
      <c r="E587" s="1" t="n">
        <v>46242</v>
      </c>
      <c r="F587" t="inlineStr">
        <is>
          <t>KRONOBERGS LÄN</t>
        </is>
      </c>
      <c r="G587" t="inlineStr">
        <is>
          <t>ÄLMHULT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19704-2023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45051</v>
      </c>
      <c r="E588" s="1" t="n">
        <v>46242</v>
      </c>
      <c r="F588" t="inlineStr">
        <is>
          <t>KRONOBERGS LÄN</t>
        </is>
      </c>
      <c r="G588" t="inlineStr">
        <is>
          <t>ÄLMHULT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45176</v>
      </c>
      <c r="E589" s="1" t="n">
        <v>46242</v>
      </c>
      <c r="F589" t="inlineStr">
        <is>
          <t>KRONOBERGS LÄN</t>
        </is>
      </c>
      <c r="G589" t="inlineStr">
        <is>
          <t>ÄLMHULT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62122-2022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44921</v>
      </c>
      <c r="E590" s="1" t="n">
        <v>46242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44928</v>
      </c>
      <c r="E591" s="1" t="n">
        <v>46242</v>
      </c>
      <c r="F591" t="inlineStr">
        <is>
          <t>KRONOBERGS LÄN</t>
        </is>
      </c>
      <c r="G591" t="inlineStr">
        <is>
          <t>ÄLMHULT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44568</v>
      </c>
      <c r="E592" s="1" t="n">
        <v>46242</v>
      </c>
      <c r="F592" t="inlineStr">
        <is>
          <t>KRONOBERGS LÄN</t>
        </is>
      </c>
      <c r="G592" t="inlineStr">
        <is>
          <t>ÄLMHULT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11782-2022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44634</v>
      </c>
      <c r="E593" s="1" t="n">
        <v>46242</v>
      </c>
      <c r="F593" t="inlineStr">
        <is>
          <t>KRONOBERGS LÄN</t>
        </is>
      </c>
      <c r="G593" t="inlineStr">
        <is>
          <t>ÄLMHULT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44592</v>
      </c>
      <c r="E594" s="1" t="n">
        <v>46242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46242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44942</v>
      </c>
      <c r="E596" s="1" t="n">
        <v>46242</v>
      </c>
      <c r="F596" t="inlineStr">
        <is>
          <t>KRONOBERGS LÄN</t>
        </is>
      </c>
      <c r="G596" t="inlineStr">
        <is>
          <t>ÄLMHULT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44942</v>
      </c>
      <c r="E597" s="1" t="n">
        <v>46242</v>
      </c>
      <c r="F597" t="inlineStr">
        <is>
          <t>KRONOBERGS LÄN</t>
        </is>
      </c>
      <c r="G597" t="inlineStr">
        <is>
          <t>ÄLMHULT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46242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45497</v>
      </c>
      <c r="E599" s="1" t="n">
        <v>46242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46242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44621</v>
      </c>
      <c r="E601" s="1" t="n">
        <v>46242</v>
      </c>
      <c r="F601" t="inlineStr">
        <is>
          <t>KRONOBERGS LÄN</t>
        </is>
      </c>
      <c r="G601" t="inlineStr">
        <is>
          <t>ÄLMHULT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44922</v>
      </c>
      <c r="E602" s="1" t="n">
        <v>46242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46242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49112-2022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44860</v>
      </c>
      <c r="E604" s="1" t="n">
        <v>46242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45154</v>
      </c>
      <c r="E605" s="1" t="n">
        <v>46242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46242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68552-2021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44529</v>
      </c>
      <c r="E607" s="1" t="n">
        <v>46242</v>
      </c>
      <c r="F607" t="inlineStr">
        <is>
          <t>KRONOBERGS LÄN</t>
        </is>
      </c>
      <c r="G607" t="inlineStr">
        <is>
          <t>ÄLMHULT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63569-2021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44508</v>
      </c>
      <c r="E608" s="1" t="n">
        <v>46242</v>
      </c>
      <c r="F608" t="inlineStr">
        <is>
          <t>KRONOBERGS LÄN</t>
        </is>
      </c>
      <c r="G608" t="inlineStr">
        <is>
          <t>ÄLMHULT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48331-2022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44858</v>
      </c>
      <c r="E609" s="1" t="n">
        <v>46242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46242</v>
      </c>
      <c r="F610" t="inlineStr">
        <is>
          <t>KRONOBERGS LÄN</t>
        </is>
      </c>
      <c r="G610" t="inlineStr">
        <is>
          <t>ÄLMHULT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46242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56266-2024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45624</v>
      </c>
      <c r="E612" s="1" t="n">
        <v>46242</v>
      </c>
      <c r="F612" t="inlineStr">
        <is>
          <t>KRONOBERGS LÄN</t>
        </is>
      </c>
      <c r="G612" t="inlineStr">
        <is>
          <t>ÄLMHULT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46242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16320-2024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45407</v>
      </c>
      <c r="E614" s="1" t="n">
        <v>46242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45719</v>
      </c>
      <c r="E615" s="1" t="n">
        <v>46242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34848-2024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46242</v>
      </c>
      <c r="F616" t="inlineStr">
        <is>
          <t>KRONOBERGS LÄN</t>
        </is>
      </c>
      <c r="G616" t="inlineStr">
        <is>
          <t>ÄLMHULT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45638</v>
      </c>
      <c r="E617" s="1" t="n">
        <v>46242</v>
      </c>
      <c r="F617" t="inlineStr">
        <is>
          <t>KRONOBERGS LÄN</t>
        </is>
      </c>
      <c r="G617" t="inlineStr">
        <is>
          <t>ÄLMHULT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24722-2025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45799</v>
      </c>
      <c r="E618" s="1" t="n">
        <v>46242</v>
      </c>
      <c r="F618" t="inlineStr">
        <is>
          <t>KRONOBERGS LÄN</t>
        </is>
      </c>
      <c r="G618" t="inlineStr">
        <is>
          <t>ÄLMHULT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46242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46242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46242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46242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46242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46242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46242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46242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46242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46242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46242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46242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46242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46242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46242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46242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46242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46242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46242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2026-08-08T01:52:17Z</dcterms:created>
  <dcterms:modified xmlns:dcterms="http://purl.org/dc/terms/" xmlns:xsi="http://www.w3.org/2001/XMLSchema-instance" xsi:type="dcterms:W3CDTF">2026-08-08T01:52:18Z</dcterms:modified>
</cp:coreProperties>
</file>