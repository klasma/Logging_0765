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45843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45843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45843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45843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45843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45843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18746-2025</t>
        </is>
      </c>
      <c r="B8" s="1" t="n">
        <v>45763</v>
      </c>
      <c r="C8" s="1" t="n">
        <v>45843</v>
      </c>
      <c r="D8" t="inlineStr">
        <is>
          <t>KRONOBERGS LÄN</t>
        </is>
      </c>
      <c r="E8" t="inlineStr">
        <is>
          <t>ÄLMHULT</t>
        </is>
      </c>
      <c r="G8" t="n">
        <v>0.6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flatbagge</t>
        </is>
      </c>
      <c r="S8">
        <f>HYPERLINK("https://klasma.github.io/Logging_070765/artfynd/A 18746-2025 artfynd.xlsx", "A 18746-2025")</f>
        <v/>
      </c>
      <c r="T8">
        <f>HYPERLINK("https://klasma.github.io/Logging_070765/kartor/A 18746-2025 karta.png", "A 18746-2025")</f>
        <v/>
      </c>
      <c r="V8">
        <f>HYPERLINK("https://klasma.github.io/Logging_070765/klagomål/A 18746-2025 FSC-klagomål.docx", "A 18746-2025")</f>
        <v/>
      </c>
      <c r="W8">
        <f>HYPERLINK("https://klasma.github.io/Logging_070765/klagomålsmail/A 18746-2025 FSC-klagomål mail.docx", "A 18746-2025")</f>
        <v/>
      </c>
      <c r="X8">
        <f>HYPERLINK("https://klasma.github.io/Logging_070765/tillsyn/A 18746-2025 tillsynsbegäran.docx", "A 18746-2025")</f>
        <v/>
      </c>
      <c r="Y8">
        <f>HYPERLINK("https://klasma.github.io/Logging_070765/tillsynsmail/A 18746-2025 tillsynsbegäran mail.docx", "A 18746-2025")</f>
        <v/>
      </c>
    </row>
    <row r="9" ht="15" customHeight="1">
      <c r="A9" t="inlineStr">
        <is>
          <t>A 12403-2020</t>
        </is>
      </c>
      <c r="B9" s="1" t="n">
        <v>43896</v>
      </c>
      <c r="C9" s="1" t="n">
        <v>45843</v>
      </c>
      <c r="D9" t="inlineStr">
        <is>
          <t>KRONOBERGS LÄN</t>
        </is>
      </c>
      <c r="E9" t="inlineStr">
        <is>
          <t>ÄLMHULT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HYPERLINK("https://klasma.github.io/Logging_0765/artfynd/A 12403-2020 artfynd.xlsx", "A 12403-2020")</f>
        <v/>
      </c>
      <c r="T9">
        <f>HYPERLINK("https://klasma.github.io/Logging_0765/kartor/A 12403-2020 karta.png", "A 12403-2020")</f>
        <v/>
      </c>
      <c r="V9">
        <f>HYPERLINK("https://klasma.github.io/Logging_0765/klagomål/A 12403-2020 FSC-klagomål.docx", "A 12403-2020")</f>
        <v/>
      </c>
      <c r="W9">
        <f>HYPERLINK("https://klasma.github.io/Logging_0765/klagomålsmail/A 12403-2020 FSC-klagomål mail.docx", "A 12403-2020")</f>
        <v/>
      </c>
      <c r="X9">
        <f>HYPERLINK("https://klasma.github.io/Logging_0765/tillsyn/A 12403-2020 tillsynsbegäran.docx", "A 12403-2020")</f>
        <v/>
      </c>
      <c r="Y9">
        <f>HYPERLINK("https://klasma.github.io/Logging_0765/tillsynsmail/A 12403-2020 tillsynsbegäran mail.docx", "A 12403-2020")</f>
        <v/>
      </c>
    </row>
    <row r="10" ht="15" customHeight="1">
      <c r="A10" t="inlineStr">
        <is>
          <t>A 24609-2020</t>
        </is>
      </c>
      <c r="B10" s="1" t="n">
        <v>43977</v>
      </c>
      <c r="C10" s="1" t="n">
        <v>45843</v>
      </c>
      <c r="D10" t="inlineStr">
        <is>
          <t>KRONOBERGS LÄN</t>
        </is>
      </c>
      <c r="E10" t="inlineStr">
        <is>
          <t>ÄLMHULT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HYPERLINK("https://klasma.github.io/Logging_0765/artfynd/A 24609-2020 artfynd.xlsx", "A 24609-2020")</f>
        <v/>
      </c>
      <c r="T10">
        <f>HYPERLINK("https://klasma.github.io/Logging_0765/kartor/A 24609-2020 karta.png", "A 24609-2020")</f>
        <v/>
      </c>
      <c r="V10">
        <f>HYPERLINK("https://klasma.github.io/Logging_0765/klagomål/A 24609-2020 FSC-klagomål.docx", "A 24609-2020")</f>
        <v/>
      </c>
      <c r="W10">
        <f>HYPERLINK("https://klasma.github.io/Logging_0765/klagomålsmail/A 24609-2020 FSC-klagomål mail.docx", "A 24609-2020")</f>
        <v/>
      </c>
      <c r="X10">
        <f>HYPERLINK("https://klasma.github.io/Logging_0765/tillsyn/A 24609-2020 tillsynsbegäran.docx", "A 24609-2020")</f>
        <v/>
      </c>
      <c r="Y10">
        <f>HYPERLINK("https://klasma.github.io/Logging_0765/tillsynsmail/A 24609-2020 tillsynsbegäran mail.docx", "A 24609-2020")</f>
        <v/>
      </c>
    </row>
    <row r="11" ht="15" customHeight="1">
      <c r="A11" t="inlineStr">
        <is>
          <t>A 36311-2020</t>
        </is>
      </c>
      <c r="B11" s="1" t="n">
        <v>44049</v>
      </c>
      <c r="C11" s="1" t="n">
        <v>45843</v>
      </c>
      <c r="D11" t="inlineStr">
        <is>
          <t>KRONOBERGS LÄN</t>
        </is>
      </c>
      <c r="E11" t="inlineStr">
        <is>
          <t>ÄLMHULT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Blåsfliksmossa</t>
        </is>
      </c>
      <c r="S11">
        <f>HYPERLINK("https://klasma.github.io/Logging_0765/artfynd/A 36311-2020 artfynd.xlsx", "A 36311-2020")</f>
        <v/>
      </c>
      <c r="T11">
        <f>HYPERLINK("https://klasma.github.io/Logging_0765/kartor/A 36311-2020 karta.png", "A 36311-2020")</f>
        <v/>
      </c>
      <c r="V11">
        <f>HYPERLINK("https://klasma.github.io/Logging_0765/klagomål/A 36311-2020 FSC-klagomål.docx", "A 36311-2020")</f>
        <v/>
      </c>
      <c r="W11">
        <f>HYPERLINK("https://klasma.github.io/Logging_0765/klagomålsmail/A 36311-2020 FSC-klagomål mail.docx", "A 36311-2020")</f>
        <v/>
      </c>
      <c r="X11">
        <f>HYPERLINK("https://klasma.github.io/Logging_0765/tillsyn/A 36311-2020 tillsynsbegäran.docx", "A 36311-2020")</f>
        <v/>
      </c>
      <c r="Y11">
        <f>HYPERLINK("https://klasma.github.io/Logging_0765/tillsynsmail/A 36311-2020 tillsynsbegäran mail.docx", "A 36311-2020")</f>
        <v/>
      </c>
    </row>
    <row r="12" ht="15" customHeight="1">
      <c r="A12" t="inlineStr">
        <is>
          <t>A 41419-2021</t>
        </is>
      </c>
      <c r="B12" s="1" t="n">
        <v>44424</v>
      </c>
      <c r="C12" s="1" t="n">
        <v>45843</v>
      </c>
      <c r="D12" t="inlineStr">
        <is>
          <t>KRONOBERGS LÄN</t>
        </is>
      </c>
      <c r="E12" t="inlineStr">
        <is>
          <t>ÄLMHULT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HYPERLINK("https://klasma.github.io/Logging_0765/artfynd/A 41419-2021 artfynd.xlsx", "A 41419-2021")</f>
        <v/>
      </c>
      <c r="T12">
        <f>HYPERLINK("https://klasma.github.io/Logging_0765/kartor/A 41419-2021 karta.png", "A 41419-2021")</f>
        <v/>
      </c>
      <c r="V12">
        <f>HYPERLINK("https://klasma.github.io/Logging_0765/klagomål/A 41419-2021 FSC-klagomål.docx", "A 41419-2021")</f>
        <v/>
      </c>
      <c r="W12">
        <f>HYPERLINK("https://klasma.github.io/Logging_0765/klagomålsmail/A 41419-2021 FSC-klagomål mail.docx", "A 41419-2021")</f>
        <v/>
      </c>
      <c r="X12">
        <f>HYPERLINK("https://klasma.github.io/Logging_0765/tillsyn/A 41419-2021 tillsynsbegäran.docx", "A 41419-2021")</f>
        <v/>
      </c>
      <c r="Y12">
        <f>HYPERLINK("https://klasma.github.io/Logging_0765/tillsynsmail/A 41419-2021 tillsynsbegäran mail.docx", "A 41419-2021")</f>
        <v/>
      </c>
    </row>
    <row r="13" ht="15" customHeight="1">
      <c r="A13" t="inlineStr">
        <is>
          <t>A 15756-2022</t>
        </is>
      </c>
      <c r="B13" s="1" t="n">
        <v>44663</v>
      </c>
      <c r="C13" s="1" t="n">
        <v>45843</v>
      </c>
      <c r="D13" t="inlineStr">
        <is>
          <t>KRONOBERGS LÄN</t>
        </is>
      </c>
      <c r="E13" t="inlineStr">
        <is>
          <t>ÄLMHULT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15756-2022 artfynd.xlsx", "A 15756-2022")</f>
        <v/>
      </c>
      <c r="T13">
        <f>HYPERLINK("https://klasma.github.io/Logging_0765/kartor/A 15756-2022 karta.png", "A 15756-2022")</f>
        <v/>
      </c>
      <c r="V13">
        <f>HYPERLINK("https://klasma.github.io/Logging_0765/klagomål/A 15756-2022 FSC-klagomål.docx", "A 15756-2022")</f>
        <v/>
      </c>
      <c r="W13">
        <f>HYPERLINK("https://klasma.github.io/Logging_0765/klagomålsmail/A 15756-2022 FSC-klagomål mail.docx", "A 15756-2022")</f>
        <v/>
      </c>
      <c r="X13">
        <f>HYPERLINK("https://klasma.github.io/Logging_0765/tillsyn/A 15756-2022 tillsynsbegäran.docx", "A 15756-2022")</f>
        <v/>
      </c>
      <c r="Y13">
        <f>HYPERLINK("https://klasma.github.io/Logging_0765/tillsynsmail/A 15756-2022 tillsynsbegäran mail.docx", "A 15756-2022")</f>
        <v/>
      </c>
    </row>
    <row r="14" ht="15" customHeight="1">
      <c r="A14" t="inlineStr">
        <is>
          <t>A 54470-2022</t>
        </is>
      </c>
      <c r="B14" s="1" t="n">
        <v>44882</v>
      </c>
      <c r="C14" s="1" t="n">
        <v>45843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25422-2023</t>
        </is>
      </c>
      <c r="B15" s="1" t="n">
        <v>45089</v>
      </c>
      <c r="C15" s="1" t="n">
        <v>45843</v>
      </c>
      <c r="D15" t="inlineStr">
        <is>
          <t>KRONOBERGS LÄN</t>
        </is>
      </c>
      <c r="E15" t="inlineStr">
        <is>
          <t>ÄLMHULT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25422-2023 artfynd.xlsx", "A 25422-2023")</f>
        <v/>
      </c>
      <c r="T15">
        <f>HYPERLINK("https://klasma.github.io/Logging_0765/kartor/A 25422-2023 karta.png", "A 25422-2023")</f>
        <v/>
      </c>
      <c r="V15">
        <f>HYPERLINK("https://klasma.github.io/Logging_0765/klagomål/A 25422-2023 FSC-klagomål.docx", "A 25422-2023")</f>
        <v/>
      </c>
      <c r="W15">
        <f>HYPERLINK("https://klasma.github.io/Logging_0765/klagomålsmail/A 25422-2023 FSC-klagomål mail.docx", "A 25422-2023")</f>
        <v/>
      </c>
      <c r="X15">
        <f>HYPERLINK("https://klasma.github.io/Logging_0765/tillsyn/A 25422-2023 tillsynsbegäran.docx", "A 25422-2023")</f>
        <v/>
      </c>
      <c r="Y15">
        <f>HYPERLINK("https://klasma.github.io/Logging_0765/tillsynsmail/A 25422-2023 tillsynsbegäran mail.docx", "A 25422-2023")</f>
        <v/>
      </c>
    </row>
    <row r="16" ht="15" customHeight="1">
      <c r="A16" t="inlineStr">
        <is>
          <t>A 40825-2023</t>
        </is>
      </c>
      <c r="B16" s="1" t="n">
        <v>45171</v>
      </c>
      <c r="C16" s="1" t="n">
        <v>45843</v>
      </c>
      <c r="D16" t="inlineStr">
        <is>
          <t>KRONOBERGS LÄN</t>
        </is>
      </c>
      <c r="E16" t="inlineStr">
        <is>
          <t>ÄLMHULT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HYPERLINK("https://klasma.github.io/Logging_0765/artfynd/A 40825-2023 artfynd.xlsx", "A 40825-2023")</f>
        <v/>
      </c>
      <c r="T16">
        <f>HYPERLINK("https://klasma.github.io/Logging_0765/kartor/A 40825-2023 karta.png", "A 40825-2023")</f>
        <v/>
      </c>
      <c r="V16">
        <f>HYPERLINK("https://klasma.github.io/Logging_0765/klagomål/A 40825-2023 FSC-klagomål.docx", "A 40825-2023")</f>
        <v/>
      </c>
      <c r="W16">
        <f>HYPERLINK("https://klasma.github.io/Logging_0765/klagomålsmail/A 40825-2023 FSC-klagomål mail.docx", "A 40825-2023")</f>
        <v/>
      </c>
      <c r="X16">
        <f>HYPERLINK("https://klasma.github.io/Logging_0765/tillsyn/A 40825-2023 tillsynsbegäran.docx", "A 40825-2023")</f>
        <v/>
      </c>
      <c r="Y16">
        <f>HYPERLINK("https://klasma.github.io/Logging_0765/tillsynsmail/A 40825-2023 tillsynsbegäran mail.docx", "A 40825-2023")</f>
        <v/>
      </c>
    </row>
    <row r="17" ht="15" customHeight="1">
      <c r="A17" t="inlineStr">
        <is>
          <t>A 43196-2023</t>
        </is>
      </c>
      <c r="B17" s="1" t="n">
        <v>45183</v>
      </c>
      <c r="C17" s="1" t="n">
        <v>45843</v>
      </c>
      <c r="D17" t="inlineStr">
        <is>
          <t>KRONOBERGS LÄN</t>
        </is>
      </c>
      <c r="E17" t="inlineStr">
        <is>
          <t>ÄLMHULT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HYPERLINK("https://klasma.github.io/Logging_0765/artfynd/A 43196-2023 artfynd.xlsx", "A 43196-2023")</f>
        <v/>
      </c>
      <c r="T17">
        <f>HYPERLINK("https://klasma.github.io/Logging_0765/kartor/A 43196-2023 karta.png", "A 43196-2023")</f>
        <v/>
      </c>
      <c r="V17">
        <f>HYPERLINK("https://klasma.github.io/Logging_0765/klagomål/A 43196-2023 FSC-klagomål.docx", "A 43196-2023")</f>
        <v/>
      </c>
      <c r="W17">
        <f>HYPERLINK("https://klasma.github.io/Logging_0765/klagomålsmail/A 43196-2023 FSC-klagomål mail.docx", "A 43196-2023")</f>
        <v/>
      </c>
      <c r="X17">
        <f>HYPERLINK("https://klasma.github.io/Logging_0765/tillsyn/A 43196-2023 tillsynsbegäran.docx", "A 43196-2023")</f>
        <v/>
      </c>
      <c r="Y17">
        <f>HYPERLINK("https://klasma.github.io/Logging_0765/tillsynsmail/A 43196-2023 tillsynsbegäran mail.docx", "A 43196-2023")</f>
        <v/>
      </c>
    </row>
    <row r="18" ht="15" customHeight="1">
      <c r="A18" t="inlineStr">
        <is>
          <t>A 50892-2023</t>
        </is>
      </c>
      <c r="B18" s="1" t="n">
        <v>45218</v>
      </c>
      <c r="C18" s="1" t="n">
        <v>45843</v>
      </c>
      <c r="D18" t="inlineStr">
        <is>
          <t>KRONOBERGS LÄN</t>
        </is>
      </c>
      <c r="E18" t="inlineStr">
        <is>
          <t>ÄLMHULT</t>
        </is>
      </c>
      <c r="G18" t="n">
        <v>83.40000000000001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HYPERLINK("https://klasma.github.io/Logging_0765/artfynd/A 50892-2023 artfynd.xlsx", "A 50892-2023")</f>
        <v/>
      </c>
      <c r="T18">
        <f>HYPERLINK("https://klasma.github.io/Logging_0765/kartor/A 50892-2023 karta.png", "A 50892-2023")</f>
        <v/>
      </c>
      <c r="V18">
        <f>HYPERLINK("https://klasma.github.io/Logging_0765/klagomål/A 50892-2023 FSC-klagomål.docx", "A 50892-2023")</f>
        <v/>
      </c>
      <c r="W18">
        <f>HYPERLINK("https://klasma.github.io/Logging_0765/klagomålsmail/A 50892-2023 FSC-klagomål mail.docx", "A 50892-2023")</f>
        <v/>
      </c>
      <c r="X18">
        <f>HYPERLINK("https://klasma.github.io/Logging_0765/tillsyn/A 50892-2023 tillsynsbegäran.docx", "A 50892-2023")</f>
        <v/>
      </c>
      <c r="Y18">
        <f>HYPERLINK("https://klasma.github.io/Logging_0765/tillsynsmail/A 50892-2023 tillsynsbegäran mail.docx", "A 50892-2023")</f>
        <v/>
      </c>
    </row>
    <row r="19" ht="15" customHeight="1">
      <c r="A19" t="inlineStr">
        <is>
          <t>A 7011-2024</t>
        </is>
      </c>
      <c r="B19" s="1" t="n">
        <v>45343</v>
      </c>
      <c r="C19" s="1" t="n">
        <v>45843</v>
      </c>
      <c r="D19" t="inlineStr">
        <is>
          <t>KRONOBERGS LÄN</t>
        </is>
      </c>
      <c r="E19" t="inlineStr">
        <is>
          <t>ÄLMHULT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HYPERLINK("https://klasma.github.io/Logging_0765/artfynd/A 7011-2024 artfynd.xlsx", "A 7011-2024")</f>
        <v/>
      </c>
      <c r="T19">
        <f>HYPERLINK("https://klasma.github.io/Logging_0765/kartor/A 7011-2024 karta.png", "A 7011-2024")</f>
        <v/>
      </c>
      <c r="V19">
        <f>HYPERLINK("https://klasma.github.io/Logging_0765/klagomål/A 7011-2024 FSC-klagomål.docx", "A 7011-2024")</f>
        <v/>
      </c>
      <c r="W19">
        <f>HYPERLINK("https://klasma.github.io/Logging_0765/klagomålsmail/A 7011-2024 FSC-klagomål mail.docx", "A 7011-2024")</f>
        <v/>
      </c>
      <c r="X19">
        <f>HYPERLINK("https://klasma.github.io/Logging_0765/tillsyn/A 7011-2024 tillsynsbegäran.docx", "A 7011-2024")</f>
        <v/>
      </c>
      <c r="Y19">
        <f>HYPERLINK("https://klasma.github.io/Logging_0765/tillsynsmail/A 7011-2024 tillsynsbegäran mail.docx", "A 7011-2024")</f>
        <v/>
      </c>
      <c r="Z19">
        <f>HYPERLINK("https://klasma.github.io/Logging_0765/fåglar/A 7011-2024 prioriterade fågelarter.docx", "A 7011-2024")</f>
        <v/>
      </c>
    </row>
    <row r="20" ht="15" customHeight="1">
      <c r="A20" t="inlineStr">
        <is>
          <t>A 18952-2024</t>
        </is>
      </c>
      <c r="B20" s="1" t="n">
        <v>45427</v>
      </c>
      <c r="C20" s="1" t="n">
        <v>45843</v>
      </c>
      <c r="D20" t="inlineStr">
        <is>
          <t>KRONOBERGS LÄN</t>
        </is>
      </c>
      <c r="E20" t="inlineStr">
        <is>
          <t>ÄLMHULT</t>
        </is>
      </c>
      <c r="G20" t="n">
        <v>4.5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Rapunkelklocka</t>
        </is>
      </c>
      <c r="S20">
        <f>HYPERLINK("https://klasma.github.io/Logging_0765/artfynd/A 18952-2024 artfynd.xlsx", "A 18952-2024")</f>
        <v/>
      </c>
      <c r="T20">
        <f>HYPERLINK("https://klasma.github.io/Logging_0765/kartor/A 18952-2024 karta.png", "A 18952-2024")</f>
        <v/>
      </c>
      <c r="V20">
        <f>HYPERLINK("https://klasma.github.io/Logging_0765/klagomål/A 18952-2024 FSC-klagomål.docx", "A 18952-2024")</f>
        <v/>
      </c>
      <c r="W20">
        <f>HYPERLINK("https://klasma.github.io/Logging_0765/klagomålsmail/A 18952-2024 FSC-klagomål mail.docx", "A 18952-2024")</f>
        <v/>
      </c>
      <c r="X20">
        <f>HYPERLINK("https://klasma.github.io/Logging_0765/tillsyn/A 18952-2024 tillsynsbegäran.docx", "A 18952-2024")</f>
        <v/>
      </c>
      <c r="Y20">
        <f>HYPERLINK("https://klasma.github.io/Logging_0765/tillsynsmail/A 18952-2024 tillsynsbegäran mail.docx", "A 18952-2024")</f>
        <v/>
      </c>
    </row>
    <row r="21" ht="15" customHeight="1">
      <c r="A21" t="inlineStr">
        <is>
          <t>A 26608-2024</t>
        </is>
      </c>
      <c r="B21" s="1" t="n">
        <v>45469</v>
      </c>
      <c r="C21" s="1" t="n">
        <v>45843</v>
      </c>
      <c r="D21" t="inlineStr">
        <is>
          <t>KRONOBERGS LÄN</t>
        </is>
      </c>
      <c r="E21" t="inlineStr">
        <is>
          <t>ÄLMHULT</t>
        </is>
      </c>
      <c r="F21" t="inlineStr">
        <is>
          <t>Sveaskog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HYPERLINK("https://klasma.github.io/Logging_0765/artfynd/A 26608-2024 artfynd.xlsx", "A 26608-2024")</f>
        <v/>
      </c>
      <c r="T21">
        <f>HYPERLINK("https://klasma.github.io/Logging_0765/kartor/A 26608-2024 karta.png", "A 26608-2024")</f>
        <v/>
      </c>
      <c r="V21">
        <f>HYPERLINK("https://klasma.github.io/Logging_0765/klagomål/A 26608-2024 FSC-klagomål.docx", "A 26608-2024")</f>
        <v/>
      </c>
      <c r="W21">
        <f>HYPERLINK("https://klasma.github.io/Logging_0765/klagomålsmail/A 26608-2024 FSC-klagomål mail.docx", "A 26608-2024")</f>
        <v/>
      </c>
      <c r="X21">
        <f>HYPERLINK("https://klasma.github.io/Logging_0765/tillsyn/A 26608-2024 tillsynsbegäran.docx", "A 26608-2024")</f>
        <v/>
      </c>
      <c r="Y21">
        <f>HYPERLINK("https://klasma.github.io/Logging_0765/tillsynsmail/A 26608-2024 tillsynsbegäran mail.docx", "A 26608-2024")</f>
        <v/>
      </c>
    </row>
    <row r="22" ht="15" customHeight="1">
      <c r="A22" t="inlineStr">
        <is>
          <t>A 58048-2024</t>
        </is>
      </c>
      <c r="B22" s="1" t="n">
        <v>45631</v>
      </c>
      <c r="C22" s="1" t="n">
        <v>45843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HYPERLINK("https://klasma.github.io/Logging_0765/artfynd/A 58048-2024 artfynd.xlsx", "A 58048-2024")</f>
        <v/>
      </c>
      <c r="T22">
        <f>HYPERLINK("https://klasma.github.io/Logging_0765/kartor/A 58048-2024 karta.png", "A 58048-2024")</f>
        <v/>
      </c>
      <c r="V22">
        <f>HYPERLINK("https://klasma.github.io/Logging_0765/klagomål/A 58048-2024 FSC-klagomål.docx", "A 58048-2024")</f>
        <v/>
      </c>
      <c r="W22">
        <f>HYPERLINK("https://klasma.github.io/Logging_0765/klagomålsmail/A 58048-2024 FSC-klagomål mail.docx", "A 58048-2024")</f>
        <v/>
      </c>
      <c r="X22">
        <f>HYPERLINK("https://klasma.github.io/Logging_0765/tillsyn/A 58048-2024 tillsynsbegäran.docx", "A 58048-2024")</f>
        <v/>
      </c>
      <c r="Y22">
        <f>HYPERLINK("https://klasma.github.io/Logging_0765/tillsynsmail/A 58048-2024 tillsynsbegäran mail.docx", "A 58048-2024")</f>
        <v/>
      </c>
    </row>
    <row r="23" ht="15" customHeight="1">
      <c r="A23" t="inlineStr">
        <is>
          <t>A 58359-2024</t>
        </is>
      </c>
      <c r="B23" s="1" t="n">
        <v>45632</v>
      </c>
      <c r="C23" s="1" t="n">
        <v>45843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Ljungögontröst</t>
        </is>
      </c>
      <c r="S23">
        <f>HYPERLINK("https://klasma.github.io/Logging_0765/artfynd/A 58359-2024 artfynd.xlsx", "A 58359-2024")</f>
        <v/>
      </c>
      <c r="T23">
        <f>HYPERLINK("https://klasma.github.io/Logging_0765/kartor/A 58359-2024 karta.png", "A 58359-2024")</f>
        <v/>
      </c>
      <c r="V23">
        <f>HYPERLINK("https://klasma.github.io/Logging_0765/klagomål/A 58359-2024 FSC-klagomål.docx", "A 58359-2024")</f>
        <v/>
      </c>
      <c r="W23">
        <f>HYPERLINK("https://klasma.github.io/Logging_0765/klagomålsmail/A 58359-2024 FSC-klagomål mail.docx", "A 58359-2024")</f>
        <v/>
      </c>
      <c r="X23">
        <f>HYPERLINK("https://klasma.github.io/Logging_0765/tillsyn/A 58359-2024 tillsynsbegäran.docx", "A 58359-2024")</f>
        <v/>
      </c>
      <c r="Y23">
        <f>HYPERLINK("https://klasma.github.io/Logging_0765/tillsynsmail/A 58359-2024 tillsynsbegäran mail.docx", "A 58359-2024")</f>
        <v/>
      </c>
    </row>
    <row r="24" ht="15" customHeight="1">
      <c r="A24" t="inlineStr">
        <is>
          <t>A 792-2025</t>
        </is>
      </c>
      <c r="B24" s="1" t="n">
        <v>45665</v>
      </c>
      <c r="C24" s="1" t="n">
        <v>45843</v>
      </c>
      <c r="D24" t="inlineStr">
        <is>
          <t>KRONOBERGS LÄN</t>
        </is>
      </c>
      <c r="E24" t="inlineStr">
        <is>
          <t>ÄLMHULT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HYPERLINK("https://klasma.github.io/Logging_0765/artfynd/A 792-2025 artfynd.xlsx", "A 792-2025")</f>
        <v/>
      </c>
      <c r="T24">
        <f>HYPERLINK("https://klasma.github.io/Logging_0765/kartor/A 792-2025 karta.png", "A 792-2025")</f>
        <v/>
      </c>
      <c r="V24">
        <f>HYPERLINK("https://klasma.github.io/Logging_0765/klagomål/A 792-2025 FSC-klagomål.docx", "A 792-2025")</f>
        <v/>
      </c>
      <c r="W24">
        <f>HYPERLINK("https://klasma.github.io/Logging_0765/klagomålsmail/A 792-2025 FSC-klagomål mail.docx", "A 792-2025")</f>
        <v/>
      </c>
      <c r="X24">
        <f>HYPERLINK("https://klasma.github.io/Logging_0765/tillsyn/A 792-2025 tillsynsbegäran.docx", "A 792-2025")</f>
        <v/>
      </c>
      <c r="Y24">
        <f>HYPERLINK("https://klasma.github.io/Logging_0765/tillsynsmail/A 792-2025 tillsynsbegäran mail.docx", "A 792-2025")</f>
        <v/>
      </c>
    </row>
    <row r="25" ht="15" customHeight="1">
      <c r="A25" t="inlineStr">
        <is>
          <t>A 9876-2025</t>
        </is>
      </c>
      <c r="B25" s="1" t="n">
        <v>45716</v>
      </c>
      <c r="C25" s="1" t="n">
        <v>45843</v>
      </c>
      <c r="D25" t="inlineStr">
        <is>
          <t>KRONOBERGS LÄN</t>
        </is>
      </c>
      <c r="E25" t="inlineStr">
        <is>
          <t>ÄLMHULT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HYPERLINK("https://klasma.github.io/Logging_070765/artfynd/A 9876-2025 artfynd.xlsx", "A 9876-2025")</f>
        <v/>
      </c>
      <c r="T25">
        <f>HYPERLINK("https://klasma.github.io/Logging_070765/kartor/A 9876-2025 karta.png", "A 9876-2025")</f>
        <v/>
      </c>
      <c r="V25">
        <f>HYPERLINK("https://klasma.github.io/Logging_070765/klagomål/A 9876-2025 FSC-klagomål.docx", "A 9876-2025")</f>
        <v/>
      </c>
      <c r="W25">
        <f>HYPERLINK("https://klasma.github.io/Logging_070765/klagomålsmail/A 9876-2025 FSC-klagomål mail.docx", "A 9876-2025")</f>
        <v/>
      </c>
      <c r="X25">
        <f>HYPERLINK("https://klasma.github.io/Logging_070765/tillsyn/A 9876-2025 tillsynsbegäran.docx", "A 9876-2025")</f>
        <v/>
      </c>
      <c r="Y25">
        <f>HYPERLINK("https://klasma.github.io/Logging_070765/tillsynsmail/A 9876-2025 tillsynsbegäran mail.docx", "A 9876-2025")</f>
        <v/>
      </c>
    </row>
    <row r="26" ht="15" customHeight="1">
      <c r="A26" t="inlineStr">
        <is>
          <t>A 14789-2025</t>
        </is>
      </c>
      <c r="B26" s="1" t="n">
        <v>45742</v>
      </c>
      <c r="C26" s="1" t="n">
        <v>45843</v>
      </c>
      <c r="D26" t="inlineStr">
        <is>
          <t>KRONOBERGS LÄN</t>
        </is>
      </c>
      <c r="E26" t="inlineStr">
        <is>
          <t>ÄLMHULT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HYPERLINK("https://klasma.github.io/Logging_070765/artfynd/A 14789-2025 artfynd.xlsx", "A 14789-2025")</f>
        <v/>
      </c>
      <c r="T26">
        <f>HYPERLINK("https://klasma.github.io/Logging_070765/kartor/A 14789-2025 karta.png", "A 14789-2025")</f>
        <v/>
      </c>
      <c r="V26">
        <f>HYPERLINK("https://klasma.github.io/Logging_070765/klagomål/A 14789-2025 FSC-klagomål.docx", "A 14789-2025")</f>
        <v/>
      </c>
      <c r="W26">
        <f>HYPERLINK("https://klasma.github.io/Logging_070765/klagomålsmail/A 14789-2025 FSC-klagomål mail.docx", "A 14789-2025")</f>
        <v/>
      </c>
      <c r="X26">
        <f>HYPERLINK("https://klasma.github.io/Logging_070765/tillsyn/A 14789-2025 tillsynsbegäran.docx", "A 14789-2025")</f>
        <v/>
      </c>
      <c r="Y26">
        <f>HYPERLINK("https://klasma.github.io/Logging_070765/tillsynsmail/A 14789-2025 tillsynsbegäran mail.docx", "A 14789-2025")</f>
        <v/>
      </c>
    </row>
    <row r="27" ht="15" customHeight="1">
      <c r="A27" t="inlineStr">
        <is>
          <t>A 18747-2025</t>
        </is>
      </c>
      <c r="B27" s="1" t="n">
        <v>45763</v>
      </c>
      <c r="C27" s="1" t="n">
        <v>45843</v>
      </c>
      <c r="D27" t="inlineStr">
        <is>
          <t>KRONOBERGS LÄN</t>
        </is>
      </c>
      <c r="E27" t="inlineStr">
        <is>
          <t>ÄLMHULT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HYPERLINK("https://klasma.github.io/Logging_070765/artfynd/A 18747-2025 artfynd.xlsx", "A 18747-2025")</f>
        <v/>
      </c>
      <c r="T27">
        <f>HYPERLINK("https://klasma.github.io/Logging_070765/kartor/A 18747-2025 karta.png", "A 18747-2025")</f>
        <v/>
      </c>
      <c r="V27">
        <f>HYPERLINK("https://klasma.github.io/Logging_070765/klagomål/A 18747-2025 FSC-klagomål.docx", "A 18747-2025")</f>
        <v/>
      </c>
      <c r="W27">
        <f>HYPERLINK("https://klasma.github.io/Logging_070765/klagomålsmail/A 18747-2025 FSC-klagomål mail.docx", "A 18747-2025")</f>
        <v/>
      </c>
      <c r="X27">
        <f>HYPERLINK("https://klasma.github.io/Logging_070765/tillsyn/A 18747-2025 tillsynsbegäran.docx", "A 18747-2025")</f>
        <v/>
      </c>
      <c r="Y27">
        <f>HYPERLINK("https://klasma.github.io/Logging_070765/tillsynsmail/A 18747-2025 tillsynsbegäran mail.docx", "A 18747-2025")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45843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45843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45843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45843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45843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45843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45843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45843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45843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45843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45843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45843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45843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45843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45843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45843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45843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45843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45843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45843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45843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45843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45843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45843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45843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45843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45843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45843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45843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45843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45843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45843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45843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45843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45843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45843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45843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45843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45843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45843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45843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45843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45843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45843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45843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45843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45843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45843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45843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45843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45843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45843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45843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45843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45843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45843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45843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45843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45843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45843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45843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45843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45843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45843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45843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45843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45843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45843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45843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45843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45843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45843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45843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45843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45843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45843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45843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45843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45843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45843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45843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45843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45843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45843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45843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45843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45843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45843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45843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45843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45843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45843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45843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45843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45843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45843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45843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45843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45843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45843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45843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45843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45843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45843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45843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45843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45843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45843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45843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45843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45843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45843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45843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45843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45843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45843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45843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45843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45843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45843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45843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45843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45843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45843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45843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45843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45843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45843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45843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45843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45843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45843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45843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45843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45843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45843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45843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45843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45843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45843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45843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45843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45843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45843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45843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45843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45843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45843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45843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45843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45843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45843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45843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45843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45843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45843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45843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45843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45843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45843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45843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45843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45843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45843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45843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45843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45843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45843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45843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45843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45843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45843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45843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45843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45843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45843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45843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45843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45843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45843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45843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45843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45843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45843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45843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45843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45843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45843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45843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45843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45843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45843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45843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45843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45843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45843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45843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45843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45843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45843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45843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45843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45843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45843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45843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45843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45843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45843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45843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45843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45843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45843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45843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45843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45843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45843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45843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45843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45843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45843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45843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45843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45843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45843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45843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45843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45843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45843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45843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45843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45843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45843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45843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45843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45843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45843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45843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45843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45843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45843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45843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45843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45843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45843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45843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45843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45843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45843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45843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45843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45843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45843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45843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45843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45843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45843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45843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45843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45843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45843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45843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45843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45843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45843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45843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45843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45843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45843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45843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45843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45843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45843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45843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45843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45843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45843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45843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45843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45843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45843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45843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45843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45843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45843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45843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45843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45843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45843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45843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45843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45843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45843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45843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45843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45843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45843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45843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45843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45843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45843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45843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45843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45843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45843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45843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45843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45843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45843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45843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45843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45843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45843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45843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45843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45843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45843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45843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45843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45843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45843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45843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45843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45843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45843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45843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45843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45843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45843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45843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45843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45843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45843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45843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45843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45843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45843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45843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45843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45843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45843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45843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45843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45843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45843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45843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45843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45843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45843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45843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45843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45843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45843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45843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45843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45843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45843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45843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45843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45843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45843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45843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45843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45843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45843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45843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45843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45843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45843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45843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45843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45843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45843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45843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45843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45843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45843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45843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45843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45843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45843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45843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45843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45843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45843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45843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45843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45843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45843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45843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45843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45843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45843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45843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45843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45843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45843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45843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45843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45843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45843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45843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45843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45843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45843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45843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45843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45843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45843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45843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45843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45843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45843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45843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45843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45843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45843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45843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45843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45843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45843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45843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45843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45843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45843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45843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45843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45843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45843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45843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45843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45843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45843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45843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45843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45843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45843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45843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45843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45843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45843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45843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45843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45843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45843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45843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45843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45843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45843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45843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45843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45843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45843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45843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45843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45843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45843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45843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45843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45843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45843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45843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45843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45843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45843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45843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45843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45843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45843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45843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45843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45843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45843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45843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45843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45843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45843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45843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45843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45843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45843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45843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45843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45843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45843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45843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45843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45843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45843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45843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45843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45843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45843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45843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45843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45843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45843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45843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45843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45843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45843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45843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45843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45843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45843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45843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45843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45843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45843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45843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45843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45843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45843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45843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45843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45843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45843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45843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45843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45843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45843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45843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45843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45843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45843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45843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45843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45843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45843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45843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45843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45843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45843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45843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45843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45843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45843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45843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45843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45843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45843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45843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45843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45843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45843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45843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45843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45843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45843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45843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45843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45843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45843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45843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45843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45843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45843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45843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45843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45843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45843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45843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45843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45843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45843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45843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45843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45843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45843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45843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45843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45843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45843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45843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45843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45843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45843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45843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45843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45843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45843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45843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45843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45843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45843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45843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45843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45843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45843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45843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45843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45843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45843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45843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45843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45843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45843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45843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45843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45843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45843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45843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45843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45843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45843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45843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45843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45843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45843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45843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45843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45843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45843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45843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45843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45843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45843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45843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45843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45843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45843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45843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45843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45843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45843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45843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45843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45843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45843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45843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45843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45843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45843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45843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45843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45843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45843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45843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45843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45843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45843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45843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45843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45843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45843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45843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45843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45843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45843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45843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45843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45843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45843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45843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45843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45843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45843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45843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45843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45843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45843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45843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45843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45843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45843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45843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45843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45843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45843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45843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45843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45843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45843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45843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45843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45843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45843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45843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45843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45843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45843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45843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45843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45843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45843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45843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45843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45843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45843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45843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45843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45843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45843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45843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45843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45843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45843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45843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45843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45843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45843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45843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45843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45843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45843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45843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45843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45843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45843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45843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45843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45843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45843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45843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45843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45843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45843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45843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45843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45843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45843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45843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45843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45843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45843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45843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45843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45843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45843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45843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45843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45843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45843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45843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45843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45843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45843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45843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45843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45843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45843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45843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45843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45843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45843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45843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45843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45843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45843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45843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45843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45843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45843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45843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45843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45843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45843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45843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45843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45843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45843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45843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45843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45843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45843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45843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45843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45843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45843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45843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45843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45843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45843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45843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45843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45843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45843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45843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45843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45843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45843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45843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45843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45843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45843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45843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45843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45843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45843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45843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45843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45843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45843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45843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45843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45843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45843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45843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45843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45843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45843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45843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45843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45843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45843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45843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45843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45843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45843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45843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45843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45843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45843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45843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45843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45843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45843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45843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45843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45843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45843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45843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45843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45843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45843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45843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45843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45843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45843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45843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45843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45843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45843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45843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45843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45843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45843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45843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45843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45843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45843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45843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45843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45843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45843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45843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45843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45843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45843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45843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45843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45843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45843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45843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45843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45843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45843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45843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45843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45843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45843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45843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45843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45843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45843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45843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45843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45843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45843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45843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45843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45843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45843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45843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45843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45843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45843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45843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45843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45843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45843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45843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45843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45843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45843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45843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45843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45843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45843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45843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45843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45843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45843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45843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45843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45843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45843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45843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45843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45843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45843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45843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45843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45843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45843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45843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45843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45843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45843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45843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45843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45843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45843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45843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45843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45843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45843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45843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45843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45843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45843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45843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45843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45843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45843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45843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45843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45843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45843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45843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45843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45843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45843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45843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45843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45843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45843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45843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45843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45843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45843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45843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45843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45843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45843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45843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45843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45843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45843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45843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45843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45843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45843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45843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45843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45843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45843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45843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45843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45843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45843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45843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45843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45843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45843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45843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45843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45843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45843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45843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45843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45843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45843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45843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45843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45843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45843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45843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45843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45843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45843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45843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45843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45843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45843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45843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45843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45843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45843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45843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45843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45843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45843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45843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45843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45843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45843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45843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45843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45843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45843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45843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45843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45843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45843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45843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45843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45843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45843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45843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45843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45843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45843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45843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45843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45843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45843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45843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45843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45843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45843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45843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45843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45843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45843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45843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45843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45843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45843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45843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45843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45843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45843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45843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45843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45843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45843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45843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45843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45843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45843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45843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45843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45843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45843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45843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45843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45843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45843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45843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45843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45843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45843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45843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45843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45843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45843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45843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45843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45843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45843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45843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45843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45843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45843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45843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45843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45843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45843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45843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45843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45843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45843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45843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45843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45843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45843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45843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45843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45843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45843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45843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45843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45843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45843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45843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45843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45843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45843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45843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45843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45843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45843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45843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45843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45843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45843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45843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45843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45843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45843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45843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45843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45843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45843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45843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45843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45843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45843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45843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45843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45843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45843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45843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45843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45843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45843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45843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45843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45843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45843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45843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45843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45843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45843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45843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45843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45843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45843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45843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45843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45843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45843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45843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45843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45843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45843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45843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45843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45843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45843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45843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45843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45843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45843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45843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45843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45843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45843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45843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45843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45843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45843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45843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45843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45843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45843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45843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45843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45843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45843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45843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45843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26309-2025</t>
        </is>
      </c>
      <c r="B1190" s="1" t="n">
        <v>45805</v>
      </c>
      <c r="C1190" s="1" t="n">
        <v>45843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45843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45843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45843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27424-2025</t>
        </is>
      </c>
      <c r="B1194" s="1" t="n">
        <v>45813</v>
      </c>
      <c r="C1194" s="1" t="n">
        <v>45843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27423-2025</t>
        </is>
      </c>
      <c r="B1195" s="1" t="n">
        <v>45813</v>
      </c>
      <c r="C1195" s="1" t="n">
        <v>45843</v>
      </c>
      <c r="D1195" t="inlineStr">
        <is>
          <t>KRONOBERGS LÄN</t>
        </is>
      </c>
      <c r="E1195" t="inlineStr">
        <is>
          <t>ÄLMHULT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27942-2025</t>
        </is>
      </c>
      <c r="B1196" s="1" t="n">
        <v>45817</v>
      </c>
      <c r="C1196" s="1" t="n">
        <v>45843</v>
      </c>
      <c r="D1196" t="inlineStr">
        <is>
          <t>KRONOBERGS LÄN</t>
        </is>
      </c>
      <c r="E1196" t="inlineStr">
        <is>
          <t>ÄLMHULT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28035-2025</t>
        </is>
      </c>
      <c r="B1197" s="1" t="n">
        <v>45817</v>
      </c>
      <c r="C1197" s="1" t="n">
        <v>45843</v>
      </c>
      <c r="D1197" t="inlineStr">
        <is>
          <t>KRONOBERGS LÄN</t>
        </is>
      </c>
      <c r="E1197" t="inlineStr">
        <is>
          <t>ÄLMHULT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45843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45843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28665-2025</t>
        </is>
      </c>
      <c r="B1200" s="1" t="n">
        <v>45819</v>
      </c>
      <c r="C1200" s="1" t="n">
        <v>45843</v>
      </c>
      <c r="D1200" t="inlineStr">
        <is>
          <t>KRONOBERGS LÄN</t>
        </is>
      </c>
      <c r="E1200" t="inlineStr">
        <is>
          <t>ÄLMHULT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28666-2025</t>
        </is>
      </c>
      <c r="B1201" s="1" t="n">
        <v>45819</v>
      </c>
      <c r="C1201" s="1" t="n">
        <v>45843</v>
      </c>
      <c r="D1201" t="inlineStr">
        <is>
          <t>KRONOBERGS LÄN</t>
        </is>
      </c>
      <c r="E1201" t="inlineStr">
        <is>
          <t>ÄLMHULT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45843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30337-2025</t>
        </is>
      </c>
      <c r="B1203" s="1" t="n">
        <v>45827</v>
      </c>
      <c r="C1203" s="1" t="n">
        <v>45843</v>
      </c>
      <c r="D1203" t="inlineStr">
        <is>
          <t>KRONOBERGS LÄN</t>
        </is>
      </c>
      <c r="E1203" t="inlineStr">
        <is>
          <t>ÄLMHULT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30410-2025</t>
        </is>
      </c>
      <c r="B1204" s="1" t="n">
        <v>45827</v>
      </c>
      <c r="C1204" s="1" t="n">
        <v>45843</v>
      </c>
      <c r="D1204" t="inlineStr">
        <is>
          <t>KRONOBERGS LÄN</t>
        </is>
      </c>
      <c r="E1204" t="inlineStr">
        <is>
          <t>ÄLMHULT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30322-2025</t>
        </is>
      </c>
      <c r="B1205" s="1" t="n">
        <v>45827</v>
      </c>
      <c r="C1205" s="1" t="n">
        <v>45843</v>
      </c>
      <c r="D1205" t="inlineStr">
        <is>
          <t>KRONOBERGS LÄN</t>
        </is>
      </c>
      <c r="E1205" t="inlineStr">
        <is>
          <t>ÄLMHULT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30835-2025</t>
        </is>
      </c>
      <c r="B1206" s="1" t="n">
        <v>45831</v>
      </c>
      <c r="C1206" s="1" t="n">
        <v>45843</v>
      </c>
      <c r="D1206" t="inlineStr">
        <is>
          <t>KRONOBERGS LÄN</t>
        </is>
      </c>
      <c r="E1206" t="inlineStr">
        <is>
          <t>ÄLMHULT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30801-2025</t>
        </is>
      </c>
      <c r="B1207" s="1" t="n">
        <v>45831</v>
      </c>
      <c r="C1207" s="1" t="n">
        <v>45843</v>
      </c>
      <c r="D1207" t="inlineStr">
        <is>
          <t>KRONOBERGS LÄN</t>
        </is>
      </c>
      <c r="E1207" t="inlineStr">
        <is>
          <t>ÄLMHULT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30818-2025</t>
        </is>
      </c>
      <c r="B1208" s="1" t="n">
        <v>45831</v>
      </c>
      <c r="C1208" s="1" t="n">
        <v>45843</v>
      </c>
      <c r="D1208" t="inlineStr">
        <is>
          <t>KRONOBERGS LÄN</t>
        </is>
      </c>
      <c r="E1208" t="inlineStr">
        <is>
          <t>ÄLMHULT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31069-2025</t>
        </is>
      </c>
      <c r="B1209" s="1" t="n">
        <v>45832</v>
      </c>
      <c r="C1209" s="1" t="n">
        <v>45843</v>
      </c>
      <c r="D1209" t="inlineStr">
        <is>
          <t>KRONOBERGS LÄN</t>
        </is>
      </c>
      <c r="E1209" t="inlineStr">
        <is>
          <t>ÄLMHULT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31311-2025</t>
        </is>
      </c>
      <c r="B1210" s="1" t="n">
        <v>45833</v>
      </c>
      <c r="C1210" s="1" t="n">
        <v>45843</v>
      </c>
      <c r="D1210" t="inlineStr">
        <is>
          <t>KRONOBERGS LÄN</t>
        </is>
      </c>
      <c r="E1210" t="inlineStr">
        <is>
          <t>ÄLMHULT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31560-2025</t>
        </is>
      </c>
      <c r="B1211" s="1" t="n">
        <v>45833</v>
      </c>
      <c r="C1211" s="1" t="n">
        <v>45843</v>
      </c>
      <c r="D1211" t="inlineStr">
        <is>
          <t>KRONOBERGS LÄN</t>
        </is>
      </c>
      <c r="E1211" t="inlineStr">
        <is>
          <t>ÄLMHULT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31506-2025</t>
        </is>
      </c>
      <c r="B1212" s="1" t="n">
        <v>45833</v>
      </c>
      <c r="C1212" s="1" t="n">
        <v>45843</v>
      </c>
      <c r="D1212" t="inlineStr">
        <is>
          <t>KRONOBERGS LÄN</t>
        </is>
      </c>
      <c r="E1212" t="inlineStr">
        <is>
          <t>ÄLMHULT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31761-2025</t>
        </is>
      </c>
      <c r="B1213" s="1" t="n">
        <v>45834</v>
      </c>
      <c r="C1213" s="1" t="n">
        <v>45843</v>
      </c>
      <c r="D1213" t="inlineStr">
        <is>
          <t>KRONOBERGS LÄN</t>
        </is>
      </c>
      <c r="E1213" t="inlineStr">
        <is>
          <t>ÄLMHULT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32233-2025</t>
        </is>
      </c>
      <c r="B1214" s="1" t="n">
        <v>45835</v>
      </c>
      <c r="C1214" s="1" t="n">
        <v>45843</v>
      </c>
      <c r="D1214" t="inlineStr">
        <is>
          <t>KRONOBERGS LÄN</t>
        </is>
      </c>
      <c r="E1214" t="inlineStr">
        <is>
          <t>ÄLMHULT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32197-2025</t>
        </is>
      </c>
      <c r="B1215" s="1" t="n">
        <v>45835</v>
      </c>
      <c r="C1215" s="1" t="n">
        <v>45843</v>
      </c>
      <c r="D1215" t="inlineStr">
        <is>
          <t>KRONOBERGS LÄN</t>
        </is>
      </c>
      <c r="E1215" t="inlineStr">
        <is>
          <t>ÄLMHULT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32860-2025</t>
        </is>
      </c>
      <c r="B1216" s="1" t="n">
        <v>45839</v>
      </c>
      <c r="C1216" s="1" t="n">
        <v>45843</v>
      </c>
      <c r="D1216" t="inlineStr">
        <is>
          <t>KRONOBERGS LÄN</t>
        </is>
      </c>
      <c r="E1216" t="inlineStr">
        <is>
          <t>ÄLMHULT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32825-2025</t>
        </is>
      </c>
      <c r="B1217" s="1" t="n">
        <v>45839</v>
      </c>
      <c r="C1217" s="1" t="n">
        <v>45843</v>
      </c>
      <c r="D1217" t="inlineStr">
        <is>
          <t>KRONOBERGS LÄN</t>
        </is>
      </c>
      <c r="E1217" t="inlineStr">
        <is>
          <t>ÄLMHULT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32806-2025</t>
        </is>
      </c>
      <c r="B1218" s="1" t="n">
        <v>45839</v>
      </c>
      <c r="C1218" s="1" t="n">
        <v>45843</v>
      </c>
      <c r="D1218" t="inlineStr">
        <is>
          <t>KRONOBERGS LÄN</t>
        </is>
      </c>
      <c r="E1218" t="inlineStr">
        <is>
          <t>ÄLMHULT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33311-2025</t>
        </is>
      </c>
      <c r="B1219" s="1" t="n">
        <v>45841</v>
      </c>
      <c r="C1219" s="1" t="n">
        <v>45843</v>
      </c>
      <c r="D1219" t="inlineStr">
        <is>
          <t>KRONOBERGS LÄN</t>
        </is>
      </c>
      <c r="E1219" t="inlineStr">
        <is>
          <t>ÄLMHULT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33754-2025</t>
        </is>
      </c>
      <c r="B1220" s="1" t="n">
        <v>45842</v>
      </c>
      <c r="C1220" s="1" t="n">
        <v>45843</v>
      </c>
      <c r="D1220" t="inlineStr">
        <is>
          <t>KRONOBERGS LÄN</t>
        </is>
      </c>
      <c r="E1220" t="inlineStr">
        <is>
          <t>ÄLMHULT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33758-2025</t>
        </is>
      </c>
      <c r="B1221" s="1" t="n">
        <v>45842</v>
      </c>
      <c r="C1221" s="1" t="n">
        <v>45843</v>
      </c>
      <c r="D1221" t="inlineStr">
        <is>
          <t>KRONOBERGS LÄN</t>
        </is>
      </c>
      <c r="E1221" t="inlineStr">
        <is>
          <t>ÄLMHULT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33760-2025</t>
        </is>
      </c>
      <c r="B1222" s="1" t="n">
        <v>45842</v>
      </c>
      <c r="C1222" s="1" t="n">
        <v>45843</v>
      </c>
      <c r="D1222" t="inlineStr">
        <is>
          <t>KRONOBERGS LÄN</t>
        </is>
      </c>
      <c r="E1222" t="inlineStr">
        <is>
          <t>ÄLMHULT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33765-2025</t>
        </is>
      </c>
      <c r="B1223" s="1" t="n">
        <v>45842</v>
      </c>
      <c r="C1223" s="1" t="n">
        <v>45843</v>
      </c>
      <c r="D1223" t="inlineStr">
        <is>
          <t>KRONOBERGS LÄN</t>
        </is>
      </c>
      <c r="E1223" t="inlineStr">
        <is>
          <t>ÄLMHULT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33771-2025</t>
        </is>
      </c>
      <c r="B1224" s="1" t="n">
        <v>45842</v>
      </c>
      <c r="C1224" s="1" t="n">
        <v>45843</v>
      </c>
      <c r="D1224" t="inlineStr">
        <is>
          <t>KRONOBERGS LÄN</t>
        </is>
      </c>
      <c r="E1224" t="inlineStr">
        <is>
          <t>ÄLMHULT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>
      <c r="A1225" t="inlineStr">
        <is>
          <t>A 33732-2025</t>
        </is>
      </c>
      <c r="B1225" s="1" t="n">
        <v>45842</v>
      </c>
      <c r="C1225" s="1" t="n">
        <v>45843</v>
      </c>
      <c r="D1225" t="inlineStr">
        <is>
          <t>KRONOBERGS LÄN</t>
        </is>
      </c>
      <c r="E1225" t="inlineStr">
        <is>
          <t>ÄLMHULT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2025-07-05T19:52:10Z</dcterms:created>
  <dcterms:modified xmlns:dcterms="http://purl.org/dc/terms/" xmlns:xsi="http://www.w3.org/2001/XMLSchema-instance" xsi:type="dcterms:W3CDTF">2025-07-05T19:52:11Z</dcterms:modified>
</cp:coreProperties>
</file>