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46316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46316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46316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46316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46316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46316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46316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46316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54633-2022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44883</v>
      </c>
      <c r="E17" s="1" t="n">
        <v>46316</v>
      </c>
      <c r="F17" t="inlineStr">
        <is>
          <t>KRONOBERGS LÄN</t>
        </is>
      </c>
      <c r="G17" t="inlineStr">
        <is>
          <t>ÄLMHULT</t>
        </is>
      </c>
      <c r="I17" t="n">
        <v>0.6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1</v>
      </c>
      <c r="V17" s="2" t="inlineStr">
        <is>
          <t>Sexfläckig bastardsvärmare
Silverblåvinge</t>
        </is>
      </c>
      <c r="W17">
        <f>HYPERLINK("https://klasma.github.io/Logging_0765/artfynd/A 54633-2022 artfynd.xlsx", "A 54633-2022")</f>
        <v/>
      </c>
      <c r="X17">
        <f>HYPERLINK("https://klasma.github.io/Logging_0765/kartor/A 54633-2022 karta.png", "A 54633-2022")</f>
        <v/>
      </c>
      <c r="Y17">
        <f>HYPERLINK("https://klasma.github.io/Logging_0765/kartor_geotiff/A 54633-2022 georefererad karta.tif", "A 54633-2022")</f>
        <v/>
      </c>
      <c r="AA17">
        <f>HYPERLINK("https://klasma.github.io/Logging_0765/klagomål/A 54633-2022 FSC-klagomål.docx", "A 54633-2022")</f>
        <v/>
      </c>
      <c r="AB17">
        <f>HYPERLINK("https://klasma.github.io/Logging_0765/klagomålsmail/A 54633-2022 FSC-klagomål mail.docx", "A 54633-2022")</f>
        <v/>
      </c>
      <c r="AC17">
        <f>HYPERLINK("https://klasma.github.io/Logging_0765/tillsyn/A 54633-2022 tillsynsbegäran.docx", "A 54633-2022")</f>
        <v/>
      </c>
      <c r="AD17">
        <f>HYPERLINK("https://klasma.github.io/Logging_0765/tillsynsmail/A 54633-2022 tillsynsbegäran mail.docx", "A 54633-2022")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46316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46316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46316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46316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19196-2025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46316</v>
      </c>
      <c r="F22" t="inlineStr">
        <is>
          <t>KRONOBERGS LÄN</t>
        </is>
      </c>
      <c r="G22" t="inlineStr">
        <is>
          <t>ÄLMHULT</t>
        </is>
      </c>
      <c r="I22" t="n">
        <v>26.2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HYPERLINK("https://klasma.github.io/Logging_0765/artfynd/A 19196-2025 artfynd.xlsx", "A 19196-2025")</f>
        <v/>
      </c>
      <c r="X22">
        <f>HYPERLINK("https://klasma.github.io/Logging_0765/kartor/A 19196-2025 karta.png", "A 19196-2025")</f>
        <v/>
      </c>
      <c r="Y22">
        <f>HYPERLINK("https://klasma.github.io/Logging_0765/kartor_geotiff/A 19196-2025 georefererad karta.tif", "A 19196-2025")</f>
        <v/>
      </c>
      <c r="AA22">
        <f>HYPERLINK("https://klasma.github.io/Logging_0765/klagomål/A 19196-2025 FSC-klagomål.docx", "A 19196-2025")</f>
        <v/>
      </c>
      <c r="AB22">
        <f>HYPERLINK("https://klasma.github.io/Logging_0765/klagomålsmail/A 19196-2025 FSC-klagomål mail.docx", "A 19196-2025")</f>
        <v/>
      </c>
      <c r="AC22">
        <f>HYPERLINK("https://klasma.github.io/Logging_0765/tillsyn/A 19196-2025 tillsynsbegäran.docx", "A 19196-2025")</f>
        <v/>
      </c>
      <c r="AD22">
        <f>HYPERLINK("https://klasma.github.io/Logging_0765/tillsynsmail/A 19196-2025 tillsynsbegäran mail.docx", "A 19196-2025")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46316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46316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46316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46316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46316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46316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46316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46316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46316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46316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46316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46316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46316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46316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46316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46316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46316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46316</v>
      </c>
      <c r="F42" t="inlineStr">
        <is>
          <t>KRONOBERGS LÄN</t>
        </is>
      </c>
      <c r="G42" t="inlineStr">
        <is>
          <t>ÄLMHULT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46316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46316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46316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46316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46316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46316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46316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46316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46316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46316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46316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46316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46316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46316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46316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46316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46316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46316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46316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46316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46316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46316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46316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46316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46316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46316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46316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46316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46316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46316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67506-2021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46316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46316</v>
      </c>
      <c r="F74" t="inlineStr">
        <is>
          <t>KRONOBERGS LÄN</t>
        </is>
      </c>
      <c r="G74" t="inlineStr">
        <is>
          <t>ÄLMHULT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46316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46316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46316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46316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46316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46316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46316</v>
      </c>
      <c r="F81" t="inlineStr">
        <is>
          <t>KRONOBERGS LÄN</t>
        </is>
      </c>
      <c r="G81" t="inlineStr">
        <is>
          <t>ÄLMHULT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46316</v>
      </c>
      <c r="F82" t="inlineStr">
        <is>
          <t>KRONOBERGS LÄN</t>
        </is>
      </c>
      <c r="G82" t="inlineStr">
        <is>
          <t>ÄLMHULT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46316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46316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46316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46316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46316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46316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46316</v>
      </c>
      <c r="F89" t="inlineStr">
        <is>
          <t>KRONOBERGS LÄN</t>
        </is>
      </c>
      <c r="G89" t="inlineStr">
        <is>
          <t>ÄLMHULT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45433</v>
      </c>
      <c r="E90" s="1" t="n">
        <v>46316</v>
      </c>
      <c r="F90" t="inlineStr">
        <is>
          <t>KRONOBERGS LÄN</t>
        </is>
      </c>
      <c r="G90" t="inlineStr">
        <is>
          <t>ÄLMHULT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46316</v>
      </c>
      <c r="F91" t="inlineStr">
        <is>
          <t>KRONOBERGS LÄN</t>
        </is>
      </c>
      <c r="G91" t="inlineStr">
        <is>
          <t>ÄLMHULT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46316</v>
      </c>
      <c r="F92" t="inlineStr">
        <is>
          <t>KRONOBERGS LÄN</t>
        </is>
      </c>
      <c r="G92" t="inlineStr">
        <is>
          <t>ÄLMHULT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45062</v>
      </c>
      <c r="E93" s="1" t="n">
        <v>46316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46316</v>
      </c>
      <c r="F94" t="inlineStr">
        <is>
          <t>KRONOBERGS LÄN</t>
        </is>
      </c>
      <c r="G94" t="inlineStr">
        <is>
          <t>ÄLMHULT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HYPERLINK("https://klasma.github.io/Logging_0765/knärot/A 27756-2023 karta knärot.png", "A 27756-2023")</f>
        <v/>
      </c>
      <c r="AA94">
        <f>HYPERLINK("https://klasma.github.io/Logging_0765/klagomål/A 27756-2023 FSC-klagomål.docx", "A 27756-2023")</f>
        <v/>
      </c>
      <c r="AB94">
        <f>HYPERLINK("https://klasma.github.io/Logging_0765/klagomålsmail/A 27756-2023 FSC-klagomål mail.docx", "A 27756-2023")</f>
        <v/>
      </c>
      <c r="AC94">
        <f>HYPERLINK("https://klasma.github.io/Logging_0765/tillsyn/A 27756-2023 tillsynsbegäran.docx", "A 27756-2023")</f>
        <v/>
      </c>
      <c r="AD94">
        <f>HYPERLINK("https://klasma.github.io/Logging_0765/tillsynsmail/A 27756-2023 tillsynsbegäran mail.docx", "A 27756-2023")</f>
        <v/>
      </c>
    </row>
    <row r="95" ht="15" customHeight="1">
      <c r="A95" t="inlineStr">
        <is>
          <t>A 60621-2021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46316</v>
      </c>
      <c r="F95" t="inlineStr">
        <is>
          <t>KRONOBERGS LÄN</t>
        </is>
      </c>
      <c r="G95" t="inlineStr">
        <is>
          <t>ÄLMHULT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7539-2024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45348</v>
      </c>
      <c r="E96" s="1" t="n">
        <v>46316</v>
      </c>
      <c r="F96" t="inlineStr">
        <is>
          <t>KRONOBERGS LÄN</t>
        </is>
      </c>
      <c r="G96" t="inlineStr">
        <is>
          <t>ÄLMHULT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46316</v>
      </c>
      <c r="F97" t="inlineStr">
        <is>
          <t>KRONOBERGS LÄN</t>
        </is>
      </c>
      <c r="G97" t="inlineStr">
        <is>
          <t>ÄLMHULT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46316</v>
      </c>
      <c r="F98" t="inlineStr">
        <is>
          <t>KRONOBERGS LÄN</t>
        </is>
      </c>
      <c r="G98" t="inlineStr">
        <is>
          <t>ÄLMHULT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46316</v>
      </c>
      <c r="F99" t="inlineStr">
        <is>
          <t>KRONOBERGS LÄN</t>
        </is>
      </c>
      <c r="G99" t="inlineStr">
        <is>
          <t>ÄLMHULT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45735</v>
      </c>
      <c r="E100" s="1" t="n">
        <v>46316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46316</v>
      </c>
      <c r="F101" t="inlineStr">
        <is>
          <t>KRONOBERGS LÄN</t>
        </is>
      </c>
      <c r="G101" t="inlineStr">
        <is>
          <t>ÄLMHULT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44826</v>
      </c>
      <c r="E102" s="1" t="n">
        <v>46316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46316</v>
      </c>
      <c r="F103" t="inlineStr">
        <is>
          <t>KRONOBERGS LÄN</t>
        </is>
      </c>
      <c r="G103" t="inlineStr">
        <is>
          <t>ÄLMHULT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44962</v>
      </c>
      <c r="E104" s="1" t="n">
        <v>46316</v>
      </c>
      <c r="F104" t="inlineStr">
        <is>
          <t>KRONOBERGS LÄN</t>
        </is>
      </c>
      <c r="G104" t="inlineStr">
        <is>
          <t>ÄLMHULT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45543</v>
      </c>
      <c r="E105" s="1" t="n">
        <v>46316</v>
      </c>
      <c r="F105" t="inlineStr">
        <is>
          <t>KRONOBERGS LÄN</t>
        </is>
      </c>
      <c r="G105" t="inlineStr">
        <is>
          <t>ÄLMHULT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45578</v>
      </c>
      <c r="E106" s="1" t="n">
        <v>46316</v>
      </c>
      <c r="F106" t="inlineStr">
        <is>
          <t>KRONOBERGS LÄN</t>
        </is>
      </c>
      <c r="G106" t="inlineStr">
        <is>
          <t>ÄLMHULT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46316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45554</v>
      </c>
      <c r="E108" s="1" t="n">
        <v>46316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45133</v>
      </c>
      <c r="E109" s="1" t="n">
        <v>46316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45069-2024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45575</v>
      </c>
      <c r="E110" s="1" t="n">
        <v>46316</v>
      </c>
      <c r="F110" t="inlineStr">
        <is>
          <t>KRONOBERGS LÄN</t>
        </is>
      </c>
      <c r="G110" t="inlineStr">
        <is>
          <t>ÄLMHULT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46316</v>
      </c>
      <c r="F111" t="inlineStr">
        <is>
          <t>KRONOBERGS LÄN</t>
        </is>
      </c>
      <c r="G111" t="inlineStr">
        <is>
          <t>ÄLMHULT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45457</v>
      </c>
      <c r="E112" s="1" t="n">
        <v>46316</v>
      </c>
      <c r="F112" t="inlineStr">
        <is>
          <t>KRONOBERGS LÄN</t>
        </is>
      </c>
      <c r="G112" t="inlineStr">
        <is>
          <t>ÄLMHULT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45457</v>
      </c>
      <c r="E113" s="1" t="n">
        <v>46316</v>
      </c>
      <c r="F113" t="inlineStr">
        <is>
          <t>KRONOBERGS LÄN</t>
        </is>
      </c>
      <c r="G113" t="inlineStr">
        <is>
          <t>ÄLMHULT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46316</v>
      </c>
      <c r="F114" t="inlineStr">
        <is>
          <t>KRONOBERGS LÄN</t>
        </is>
      </c>
      <c r="G114" t="inlineStr">
        <is>
          <t>ÄLMHULT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46316</v>
      </c>
      <c r="F115" t="inlineStr">
        <is>
          <t>KRONOBERGS LÄN</t>
        </is>
      </c>
      <c r="G115" t="inlineStr">
        <is>
          <t>ÄLMHULT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46316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46316</v>
      </c>
      <c r="F117" t="inlineStr">
        <is>
          <t>KRONOBERGS LÄN</t>
        </is>
      </c>
      <c r="G117" t="inlineStr">
        <is>
          <t>ÄLMHULT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46316</v>
      </c>
      <c r="F118" t="inlineStr">
        <is>
          <t>KRONOBERGS LÄN</t>
        </is>
      </c>
      <c r="G118" t="inlineStr">
        <is>
          <t>ÄLMHULT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45175</v>
      </c>
      <c r="E119" s="1" t="n">
        <v>46316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46005</v>
      </c>
      <c r="E120" s="1" t="n">
        <v>46316</v>
      </c>
      <c r="F120" t="inlineStr">
        <is>
          <t>KRONOBERGS LÄN</t>
        </is>
      </c>
      <c r="G120" t="inlineStr">
        <is>
          <t>ÄLMHULT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15988-2024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45405</v>
      </c>
      <c r="E121" s="1" t="n">
        <v>46316</v>
      </c>
      <c r="F121" t="inlineStr">
        <is>
          <t>KRONOBERGS LÄN</t>
        </is>
      </c>
      <c r="G121" t="inlineStr">
        <is>
          <t>ÄLMHULT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46316</v>
      </c>
      <c r="F122" t="inlineStr">
        <is>
          <t>KRONOBERGS LÄN</t>
        </is>
      </c>
      <c r="G122" t="inlineStr">
        <is>
          <t>ÄLMHULT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45469</v>
      </c>
      <c r="E123" s="1" t="n">
        <v>46316</v>
      </c>
      <c r="F123" t="inlineStr">
        <is>
          <t>KRONOBERGS LÄN</t>
        </is>
      </c>
      <c r="G123" t="inlineStr">
        <is>
          <t>ÄLMHULT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44511</v>
      </c>
      <c r="E124" s="1" t="n">
        <v>46316</v>
      </c>
      <c r="F124" t="inlineStr">
        <is>
          <t>KRONOBERGS LÄN</t>
        </is>
      </c>
      <c r="G124" t="inlineStr">
        <is>
          <t>ÄLMHULT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44511</v>
      </c>
      <c r="E125" s="1" t="n">
        <v>46316</v>
      </c>
      <c r="F125" t="inlineStr">
        <is>
          <t>KRONOBERGS LÄN</t>
        </is>
      </c>
      <c r="G125" t="inlineStr">
        <is>
          <t>ÄLMHULT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46316</v>
      </c>
      <c r="F126" t="inlineStr">
        <is>
          <t>KRONOBERGS LÄN</t>
        </is>
      </c>
      <c r="G126" t="inlineStr">
        <is>
          <t>ÄLMHULT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46316</v>
      </c>
      <c r="F127" t="inlineStr">
        <is>
          <t>KRONOBERGS LÄN</t>
        </is>
      </c>
      <c r="G127" t="inlineStr">
        <is>
          <t>ÄLMHULT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46316</v>
      </c>
      <c r="F128" t="inlineStr">
        <is>
          <t>KRONOBERGS LÄN</t>
        </is>
      </c>
      <c r="G128" t="inlineStr">
        <is>
          <t>ÄLMHULT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46316</v>
      </c>
      <c r="F129" t="inlineStr">
        <is>
          <t>KRONOBERGS LÄN</t>
        </is>
      </c>
      <c r="G129" t="inlineStr">
        <is>
          <t>ÄLMHULT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45663</v>
      </c>
      <c r="E130" s="1" t="n">
        <v>46316</v>
      </c>
      <c r="F130" t="inlineStr">
        <is>
          <t>KRONOBERGS LÄN</t>
        </is>
      </c>
      <c r="G130" t="inlineStr">
        <is>
          <t>ÄLMHULT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46316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27334-2025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45812</v>
      </c>
      <c r="E132" s="1" t="n">
        <v>46316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46316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46316</v>
      </c>
      <c r="F134" t="inlineStr">
        <is>
          <t>KRONOBERGS LÄN</t>
        </is>
      </c>
      <c r="G134" t="inlineStr">
        <is>
          <t>ÄLMHULT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46316</v>
      </c>
      <c r="F135" t="inlineStr">
        <is>
          <t>KRONOBERGS LÄN</t>
        </is>
      </c>
      <c r="G135" t="inlineStr">
        <is>
          <t>ÄLMHULT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46316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46316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46316</v>
      </c>
      <c r="F138" t="inlineStr">
        <is>
          <t>KRONOBERGS LÄN</t>
        </is>
      </c>
      <c r="G138" t="inlineStr">
        <is>
          <t>ÄLMHULT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46316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46316</v>
      </c>
      <c r="F140" t="inlineStr">
        <is>
          <t>KRONOBERGS LÄN</t>
        </is>
      </c>
      <c r="G140" t="inlineStr">
        <is>
          <t>ÄLMHULT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46016</v>
      </c>
      <c r="E141" s="1" t="n">
        <v>46316</v>
      </c>
      <c r="F141" t="inlineStr">
        <is>
          <t>KRONOBERGS LÄN</t>
        </is>
      </c>
      <c r="G141" t="inlineStr">
        <is>
          <t>ÄLMHULT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44876</v>
      </c>
      <c r="E142" s="1" t="n">
        <v>46316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46316</v>
      </c>
      <c r="F143" t="inlineStr">
        <is>
          <t>KRONOBERGS LÄN</t>
        </is>
      </c>
      <c r="G143" t="inlineStr">
        <is>
          <t>ÄLMHULT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44686</v>
      </c>
      <c r="E144" s="1" t="n">
        <v>46316</v>
      </c>
      <c r="F144" t="inlineStr">
        <is>
          <t>KRONOBERGS LÄN</t>
        </is>
      </c>
      <c r="G144" t="inlineStr">
        <is>
          <t>ÄLMHULT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11800-2023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46316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46316</v>
      </c>
      <c r="F146" t="inlineStr">
        <is>
          <t>KRONOBERGS LÄN</t>
        </is>
      </c>
      <c r="G146" t="inlineStr">
        <is>
          <t>ÄLMHULT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19722-2023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45051</v>
      </c>
      <c r="E147" s="1" t="n">
        <v>46316</v>
      </c>
      <c r="F147" t="inlineStr">
        <is>
          <t>KRONOBERGS LÄN</t>
        </is>
      </c>
      <c r="G147" t="inlineStr">
        <is>
          <t>ÄLMHULT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46316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46316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46316</v>
      </c>
      <c r="F150" t="inlineStr">
        <is>
          <t>KRONOBERGS LÄN</t>
        </is>
      </c>
      <c r="G150" t="inlineStr">
        <is>
          <t>ÄLMHULT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46316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46316</v>
      </c>
      <c r="F152" t="inlineStr">
        <is>
          <t>KRONOBERGS LÄN</t>
        </is>
      </c>
      <c r="G152" t="inlineStr">
        <is>
          <t>ÄLMHULT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46316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46316</v>
      </c>
      <c r="F154" t="inlineStr">
        <is>
          <t>KRONOBERGS LÄN</t>
        </is>
      </c>
      <c r="G154" t="inlineStr">
        <is>
          <t>ÄLMHULT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46316</v>
      </c>
      <c r="F155" t="inlineStr">
        <is>
          <t>KRONOBERGS LÄN</t>
        </is>
      </c>
      <c r="G155" t="inlineStr">
        <is>
          <t>ÄLMHULT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45695</v>
      </c>
      <c r="E156" s="1" t="n">
        <v>46316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46316</v>
      </c>
      <c r="F157" t="inlineStr">
        <is>
          <t>KRONOBERGS LÄN</t>
        </is>
      </c>
      <c r="G157" t="inlineStr">
        <is>
          <t>ÄLMHULT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46316</v>
      </c>
      <c r="F158" t="inlineStr">
        <is>
          <t>KRONOBERGS LÄN</t>
        </is>
      </c>
      <c r="G158" t="inlineStr">
        <is>
          <t>ÄLMHULT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46316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46316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46316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46316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46316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46316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46316</v>
      </c>
      <c r="F165" t="inlineStr">
        <is>
          <t>KRONOBERGS LÄN</t>
        </is>
      </c>
      <c r="G165" t="inlineStr">
        <is>
          <t>ÄLMHULT</t>
        </is>
      </c>
      <c r="H165" t="inlineStr">
        <is>
          <t>Sveaskog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45916</v>
      </c>
      <c r="E166" s="1" t="n">
        <v>46316</v>
      </c>
      <c r="F166" t="inlineStr">
        <is>
          <t>KRONOBERGS LÄN</t>
        </is>
      </c>
      <c r="G166" t="inlineStr">
        <is>
          <t>ÄLMHULT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46316</v>
      </c>
      <c r="F167" t="inlineStr">
        <is>
          <t>KRONOBERGS LÄN</t>
        </is>
      </c>
      <c r="G167" t="inlineStr">
        <is>
          <t>ÄLMHULT</t>
        </is>
      </c>
      <c r="H167" t="inlineStr">
        <is>
          <t>Kyrkan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45350</v>
      </c>
      <c r="E168" s="1" t="n">
        <v>46316</v>
      </c>
      <c r="F168" t="inlineStr">
        <is>
          <t>KRONOBERGS LÄN</t>
        </is>
      </c>
      <c r="G168" t="inlineStr">
        <is>
          <t>ÄLMHULT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46316</v>
      </c>
      <c r="F169" t="inlineStr">
        <is>
          <t>KRONOBERGS LÄN</t>
        </is>
      </c>
      <c r="G169" t="inlineStr">
        <is>
          <t>ÄLMHULT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45693</v>
      </c>
      <c r="E170" s="1" t="n">
        <v>46316</v>
      </c>
      <c r="F170" t="inlineStr">
        <is>
          <t>KRONOBERGS LÄN</t>
        </is>
      </c>
      <c r="G170" t="inlineStr">
        <is>
          <t>ÄLMHULT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46316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46316</v>
      </c>
      <c r="F172" t="inlineStr">
        <is>
          <t>KRONOBERGS LÄN</t>
        </is>
      </c>
      <c r="G172" t="inlineStr">
        <is>
          <t>ÄLMHULT</t>
        </is>
      </c>
      <c r="I172" t="n">
        <v>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45303</v>
      </c>
      <c r="E173" s="1" t="n">
        <v>46316</v>
      </c>
      <c r="F173" t="inlineStr">
        <is>
          <t>KRONOBERGS LÄN</t>
        </is>
      </c>
      <c r="G173" t="inlineStr">
        <is>
          <t>ÄLMHULT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45290</v>
      </c>
      <c r="E174" s="1" t="n">
        <v>46316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46316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46316</v>
      </c>
      <c r="F176" t="inlineStr">
        <is>
          <t>KRONOBERGS LÄN</t>
        </is>
      </c>
      <c r="G176" t="inlineStr">
        <is>
          <t>ÄLMHULT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46316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8102-2026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46063</v>
      </c>
      <c r="E178" s="1" t="n">
        <v>46316</v>
      </c>
      <c r="F178" t="inlineStr">
        <is>
          <t>KRONOBERGS LÄN</t>
        </is>
      </c>
      <c r="G178" t="inlineStr">
        <is>
          <t>ÄLMHULT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46316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46316</v>
      </c>
      <c r="F180" t="inlineStr">
        <is>
          <t>KRONOBERGS LÄN</t>
        </is>
      </c>
      <c r="G180" t="inlineStr">
        <is>
          <t>ÄLMHULT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46061</v>
      </c>
      <c r="E181" s="1" t="n">
        <v>46316</v>
      </c>
      <c r="F181" t="inlineStr">
        <is>
          <t>KRONOBERGS LÄN</t>
        </is>
      </c>
      <c r="G181" t="inlineStr">
        <is>
          <t>ÄLMHULT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46316</v>
      </c>
      <c r="F182" t="inlineStr">
        <is>
          <t>KRONOBERGS LÄN</t>
        </is>
      </c>
      <c r="G182" t="inlineStr">
        <is>
          <t>ÄLMHULT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46316</v>
      </c>
      <c r="F183" t="inlineStr">
        <is>
          <t>KRONOBERGS LÄN</t>
        </is>
      </c>
      <c r="G183" t="inlineStr">
        <is>
          <t>ÄLMHULT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46316</v>
      </c>
      <c r="F184" t="inlineStr">
        <is>
          <t>KRONOBERGS LÄN</t>
        </is>
      </c>
      <c r="G184" t="inlineStr">
        <is>
          <t>ÄLMHULT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46316</v>
      </c>
      <c r="F185" t="inlineStr">
        <is>
          <t>KRONOBERGS LÄN</t>
        </is>
      </c>
      <c r="G185" t="inlineStr">
        <is>
          <t>ÄLMHULT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46316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46316</v>
      </c>
      <c r="F187" t="inlineStr">
        <is>
          <t>KRONOBERGS LÄN</t>
        </is>
      </c>
      <c r="G187" t="inlineStr">
        <is>
          <t>ÄLMHULT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46316</v>
      </c>
      <c r="F188" t="inlineStr">
        <is>
          <t>KRONOBERGS LÄN</t>
        </is>
      </c>
      <c r="G188" t="inlineStr">
        <is>
          <t>ÄLMHULT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46316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46316</v>
      </c>
      <c r="F190" t="inlineStr">
        <is>
          <t>KRONOBERGS LÄN</t>
        </is>
      </c>
      <c r="G190" t="inlineStr">
        <is>
          <t>ÄLMHULT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30322-2025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45827</v>
      </c>
      <c r="E191" s="1" t="n">
        <v>46316</v>
      </c>
      <c r="F191" t="inlineStr">
        <is>
          <t>KRONOBERGS LÄN</t>
        </is>
      </c>
      <c r="G191" t="inlineStr">
        <is>
          <t>ÄLMHULT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44958</v>
      </c>
      <c r="E192" s="1" t="n">
        <v>46316</v>
      </c>
      <c r="F192" t="inlineStr">
        <is>
          <t>KRONOBERGS LÄN</t>
        </is>
      </c>
      <c r="G192" t="inlineStr">
        <is>
          <t>ÄLMHULT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46316</v>
      </c>
      <c r="F193" t="inlineStr">
        <is>
          <t>KRONOBERGS LÄN</t>
        </is>
      </c>
      <c r="G193" t="inlineStr">
        <is>
          <t>ÄLMHULT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46316</v>
      </c>
      <c r="F194" t="inlineStr">
        <is>
          <t>KRONOBERGS LÄN</t>
        </is>
      </c>
      <c r="G194" t="inlineStr">
        <is>
          <t>ÄLMHULT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44861</v>
      </c>
      <c r="E195" s="1" t="n">
        <v>46316</v>
      </c>
      <c r="F195" t="inlineStr">
        <is>
          <t>KRONOBERGS LÄN</t>
        </is>
      </c>
      <c r="G195" t="inlineStr">
        <is>
          <t>ÄLMHULT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46316</v>
      </c>
      <c r="F196" t="inlineStr">
        <is>
          <t>KRONOBERGS LÄN</t>
        </is>
      </c>
      <c r="G196" t="inlineStr">
        <is>
          <t>ÄLMHULT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46316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46316</v>
      </c>
      <c r="F198" t="inlineStr">
        <is>
          <t>KRONOBERGS LÄN</t>
        </is>
      </c>
      <c r="G198" t="inlineStr">
        <is>
          <t>ÄLMHULT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45414</v>
      </c>
      <c r="E199" s="1" t="n">
        <v>46316</v>
      </c>
      <c r="F199" t="inlineStr">
        <is>
          <t>KRONOBERGS LÄN</t>
        </is>
      </c>
      <c r="G199" t="inlineStr">
        <is>
          <t>ÄLMHULT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46316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46316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46316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46316</v>
      </c>
      <c r="F203" t="inlineStr">
        <is>
          <t>KRONOBERGS LÄN</t>
        </is>
      </c>
      <c r="G203" t="inlineStr">
        <is>
          <t>ÄLMHULT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46316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46316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46316</v>
      </c>
      <c r="F206" t="inlineStr">
        <is>
          <t>KRONOBERGS LÄN</t>
        </is>
      </c>
      <c r="G206" t="inlineStr">
        <is>
          <t>ÄLMHULT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46316</v>
      </c>
      <c r="F207" t="inlineStr">
        <is>
          <t>KRONOBERGS LÄN</t>
        </is>
      </c>
      <c r="G207" t="inlineStr">
        <is>
          <t>ÄLMHULT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45042</v>
      </c>
      <c r="E208" s="1" t="n">
        <v>46316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46316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46316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46316</v>
      </c>
      <c r="F211" t="inlineStr">
        <is>
          <t>KRONOBERGS LÄN</t>
        </is>
      </c>
      <c r="G211" t="inlineStr">
        <is>
          <t>ÄLMHULT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46316</v>
      </c>
      <c r="F212" t="inlineStr">
        <is>
          <t>KRONOBERGS LÄN</t>
        </is>
      </c>
      <c r="G212" t="inlineStr">
        <is>
          <t>ÄLMHULT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46316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46316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46316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46316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10.2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46316</v>
      </c>
      <c r="F217" t="inlineStr">
        <is>
          <t>KRONOBERGS LÄN</t>
        </is>
      </c>
      <c r="G217" t="inlineStr">
        <is>
          <t>ÄLMHULT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46316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45681</v>
      </c>
      <c r="E219" s="1" t="n">
        <v>46316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46316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46316</v>
      </c>
      <c r="F221" t="inlineStr">
        <is>
          <t>KRONOBERGS LÄN</t>
        </is>
      </c>
      <c r="G221" t="inlineStr">
        <is>
          <t>ÄLMHULT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46316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15.3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46316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46316</v>
      </c>
      <c r="F224" t="inlineStr">
        <is>
          <t>KRONOBERGS LÄN</t>
        </is>
      </c>
      <c r="G224" t="inlineStr">
        <is>
          <t>ÄLMHULT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46107</v>
      </c>
      <c r="E225" s="1" t="n">
        <v>46316</v>
      </c>
      <c r="F225" t="inlineStr">
        <is>
          <t>KRONOBERGS LÄN</t>
        </is>
      </c>
      <c r="G225" t="inlineStr">
        <is>
          <t>ÄLMHULT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46316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46316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46316</v>
      </c>
      <c r="F228" t="inlineStr">
        <is>
          <t>KRONOBERGS LÄN</t>
        </is>
      </c>
      <c r="G228" t="inlineStr">
        <is>
          <t>ÄLMHULT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44921</v>
      </c>
      <c r="E229" s="1" t="n">
        <v>46316</v>
      </c>
      <c r="F229" t="inlineStr">
        <is>
          <t>KRONOBERGS LÄN</t>
        </is>
      </c>
      <c r="G229" t="inlineStr">
        <is>
          <t>ÄLMHULT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46316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46316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46316</v>
      </c>
      <c r="F232" t="inlineStr">
        <is>
          <t>KRONOBERGS LÄN</t>
        </is>
      </c>
      <c r="G232" t="inlineStr">
        <is>
          <t>ÄLMHULT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46316</v>
      </c>
      <c r="F233" t="inlineStr">
        <is>
          <t>KRONOBERGS LÄN</t>
        </is>
      </c>
      <c r="G233" t="inlineStr">
        <is>
          <t>ÄLMHULT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46316</v>
      </c>
      <c r="F234" t="inlineStr">
        <is>
          <t>KRONOBERGS LÄN</t>
        </is>
      </c>
      <c r="G234" t="inlineStr">
        <is>
          <t>ÄLMHULT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45228</v>
      </c>
      <c r="E235" s="1" t="n">
        <v>46316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46316</v>
      </c>
      <c r="F236" t="inlineStr">
        <is>
          <t>KRONOBERGS LÄN</t>
        </is>
      </c>
      <c r="G236" t="inlineStr">
        <is>
          <t>ÄLMHULT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46316</v>
      </c>
      <c r="F237" t="inlineStr">
        <is>
          <t>KRONOBERGS LÄN</t>
        </is>
      </c>
      <c r="G237" t="inlineStr">
        <is>
          <t>ÄLMHULT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45969</v>
      </c>
      <c r="E238" s="1" t="n">
        <v>46316</v>
      </c>
      <c r="F238" t="inlineStr">
        <is>
          <t>KRONOBERGS LÄN</t>
        </is>
      </c>
      <c r="G238" t="inlineStr">
        <is>
          <t>ÄLMHULT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45969</v>
      </c>
      <c r="E239" s="1" t="n">
        <v>46316</v>
      </c>
      <c r="F239" t="inlineStr">
        <is>
          <t>KRONOBERGS LÄN</t>
        </is>
      </c>
      <c r="G239" t="inlineStr">
        <is>
          <t>ÄLMHULT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46316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45258</v>
      </c>
      <c r="E241" s="1" t="n">
        <v>46316</v>
      </c>
      <c r="F241" t="inlineStr">
        <is>
          <t>KRONOBERGS LÄN</t>
        </is>
      </c>
      <c r="G241" t="inlineStr">
        <is>
          <t>ÄLMHULT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46316</v>
      </c>
      <c r="F242" t="inlineStr">
        <is>
          <t>KRONOBERGS LÄN</t>
        </is>
      </c>
      <c r="G242" t="inlineStr">
        <is>
          <t>ÄLMHULT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44914</v>
      </c>
      <c r="E243" s="1" t="n">
        <v>46316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45538</v>
      </c>
      <c r="E244" s="1" t="n">
        <v>46316</v>
      </c>
      <c r="F244" t="inlineStr">
        <is>
          <t>KRONOBERGS LÄN</t>
        </is>
      </c>
      <c r="G244" t="inlineStr">
        <is>
          <t>ÄLMHULT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46316</v>
      </c>
      <c r="F245" t="inlineStr">
        <is>
          <t>KRONOBERGS LÄN</t>
        </is>
      </c>
      <c r="G245" t="inlineStr">
        <is>
          <t>ÄLMHULT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46316</v>
      </c>
      <c r="F246" t="inlineStr">
        <is>
          <t>KRONOBERGS LÄN</t>
        </is>
      </c>
      <c r="G246" t="inlineStr">
        <is>
          <t>ÄLMHULT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12718-2022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44641</v>
      </c>
      <c r="E247" s="1" t="n">
        <v>46316</v>
      </c>
      <c r="F247" t="inlineStr">
        <is>
          <t>KRONOBERGS LÄN</t>
        </is>
      </c>
      <c r="G247" t="inlineStr">
        <is>
          <t>ÄLMHULT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46316</v>
      </c>
      <c r="F248" t="inlineStr">
        <is>
          <t>KRONOBERGS LÄN</t>
        </is>
      </c>
      <c r="G248" t="inlineStr">
        <is>
          <t>ÄLMHULT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44503</v>
      </c>
      <c r="E249" s="1" t="n">
        <v>46316</v>
      </c>
      <c r="F249" t="inlineStr">
        <is>
          <t>KRONOBERGS LÄN</t>
        </is>
      </c>
      <c r="G249" t="inlineStr">
        <is>
          <t>ÄLMHULT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46316</v>
      </c>
      <c r="F250" t="inlineStr">
        <is>
          <t>KRONOBERGS LÄN</t>
        </is>
      </c>
      <c r="G250" t="inlineStr">
        <is>
          <t>ÄLMHULT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45559</v>
      </c>
      <c r="E251" s="1" t="n">
        <v>46316</v>
      </c>
      <c r="F251" t="inlineStr">
        <is>
          <t>KRONOBERGS LÄN</t>
        </is>
      </c>
      <c r="G251" t="inlineStr">
        <is>
          <t>ÄLMHULT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46316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46316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45317</v>
      </c>
      <c r="E254" s="1" t="n">
        <v>46316</v>
      </c>
      <c r="F254" t="inlineStr">
        <is>
          <t>KRONOBERGS LÄN</t>
        </is>
      </c>
      <c r="G254" t="inlineStr">
        <is>
          <t>ÄLMHULT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46316</v>
      </c>
      <c r="F255" t="inlineStr">
        <is>
          <t>KRONOBERGS LÄN</t>
        </is>
      </c>
      <c r="G255" t="inlineStr">
        <is>
          <t>ÄLMHULT</t>
        </is>
      </c>
      <c r="I255" t="n">
        <v>14.1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46316</v>
      </c>
      <c r="F256" t="inlineStr">
        <is>
          <t>KRONOBERGS LÄN</t>
        </is>
      </c>
      <c r="G256" t="inlineStr">
        <is>
          <t>ÄLMHULT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46316</v>
      </c>
      <c r="F257" t="inlineStr">
        <is>
          <t>KRONOBERGS LÄN</t>
        </is>
      </c>
      <c r="G257" t="inlineStr">
        <is>
          <t>ÄLMHULT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46316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46316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46316</v>
      </c>
      <c r="F260" t="inlineStr">
        <is>
          <t>KRONOBERGS LÄN</t>
        </is>
      </c>
      <c r="G260" t="inlineStr">
        <is>
          <t>ÄLMHULT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46316</v>
      </c>
      <c r="F261" t="inlineStr">
        <is>
          <t>KRONOBERGS LÄN</t>
        </is>
      </c>
      <c r="G261" t="inlineStr">
        <is>
          <t>ÄLMHULT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35103-2024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45529</v>
      </c>
      <c r="E262" s="1" t="n">
        <v>46316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46316</v>
      </c>
      <c r="F263" t="inlineStr">
        <is>
          <t>KRONOBERGS LÄN</t>
        </is>
      </c>
      <c r="G263" t="inlineStr">
        <is>
          <t>ÄLMHULT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46316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46316</v>
      </c>
      <c r="F265" t="inlineStr">
        <is>
          <t>KRONOBERGS LÄN</t>
        </is>
      </c>
      <c r="G265" t="inlineStr">
        <is>
          <t>ÄLMHULT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59803-2025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45992</v>
      </c>
      <c r="E266" s="1" t="n">
        <v>46316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32197-2025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46316</v>
      </c>
      <c r="F267" t="inlineStr">
        <is>
          <t>KRONOBERGS LÄN</t>
        </is>
      </c>
      <c r="G267" t="inlineStr">
        <is>
          <t>ÄLMHULT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59771-2025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45992</v>
      </c>
      <c r="E268" s="1" t="n">
        <v>46316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46316</v>
      </c>
      <c r="F269" t="inlineStr">
        <is>
          <t>KRONOBERGS LÄN</t>
        </is>
      </c>
      <c r="G269" t="inlineStr">
        <is>
          <t>ÄLMHULT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46316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59780-2025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45992</v>
      </c>
      <c r="E271" s="1" t="n">
        <v>46316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46316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46316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46316</v>
      </c>
      <c r="F274" t="inlineStr">
        <is>
          <t>KRONOBERGS LÄN</t>
        </is>
      </c>
      <c r="G274" t="inlineStr">
        <is>
          <t>ÄLMHULT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46316</v>
      </c>
      <c r="F275" t="inlineStr">
        <is>
          <t>KRONOBERGS LÄN</t>
        </is>
      </c>
      <c r="G275" t="inlineStr">
        <is>
          <t>ÄLMHULT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46316</v>
      </c>
      <c r="F276" t="inlineStr">
        <is>
          <t>KRONOBERGS LÄN</t>
        </is>
      </c>
      <c r="G276" t="inlineStr">
        <is>
          <t>ÄLMHULT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46316</v>
      </c>
      <c r="F277" t="inlineStr">
        <is>
          <t>KRONOBERGS LÄN</t>
        </is>
      </c>
      <c r="G277" t="inlineStr">
        <is>
          <t>ÄLMHULT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45440</v>
      </c>
      <c r="E278" s="1" t="n">
        <v>46316</v>
      </c>
      <c r="F278" t="inlineStr">
        <is>
          <t>KRONOBERGS LÄN</t>
        </is>
      </c>
      <c r="G278" t="inlineStr">
        <is>
          <t>ÄLMHULT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46316</v>
      </c>
      <c r="F279" t="inlineStr">
        <is>
          <t>KRONOBERGS LÄN</t>
        </is>
      </c>
      <c r="G279" t="inlineStr">
        <is>
          <t>ÄLMHULT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46316</v>
      </c>
      <c r="F280" t="inlineStr">
        <is>
          <t>KRONOBERGS LÄN</t>
        </is>
      </c>
      <c r="G280" t="inlineStr">
        <is>
          <t>ÄLMHULT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72469-2021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44545</v>
      </c>
      <c r="E281" s="1" t="n">
        <v>46316</v>
      </c>
      <c r="F281" t="inlineStr">
        <is>
          <t>KRONOBERGS LÄN</t>
        </is>
      </c>
      <c r="G281" t="inlineStr">
        <is>
          <t>ÄLMHULT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45854</v>
      </c>
      <c r="E282" s="1" t="n">
        <v>46316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46316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45722</v>
      </c>
      <c r="E284" s="1" t="n">
        <v>46316</v>
      </c>
      <c r="F284" t="inlineStr">
        <is>
          <t>KRONOBERGS LÄN</t>
        </is>
      </c>
      <c r="G284" t="inlineStr">
        <is>
          <t>ÄLMHULT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45328</v>
      </c>
      <c r="E285" s="1" t="n">
        <v>46316</v>
      </c>
      <c r="F285" t="inlineStr">
        <is>
          <t>KRONOBERGS LÄN</t>
        </is>
      </c>
      <c r="G285" t="inlineStr">
        <is>
          <t>ÄLMHULT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46316</v>
      </c>
      <c r="F286" t="inlineStr">
        <is>
          <t>KRONOBERGS LÄN</t>
        </is>
      </c>
      <c r="G286" t="inlineStr">
        <is>
          <t>ÄLMHULT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46316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46316</v>
      </c>
      <c r="F288" t="inlineStr">
        <is>
          <t>KRONOBERGS LÄN</t>
        </is>
      </c>
      <c r="G288" t="inlineStr">
        <is>
          <t>ÄLMHULT</t>
        </is>
      </c>
      <c r="H288" t="inlineStr">
        <is>
          <t>Kommuner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46316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46316</v>
      </c>
      <c r="F290" t="inlineStr">
        <is>
          <t>KRONOBERGS LÄN</t>
        </is>
      </c>
      <c r="G290" t="inlineStr">
        <is>
          <t>ÄLMHULT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46316</v>
      </c>
      <c r="F291" t="inlineStr">
        <is>
          <t>KRONOBERGS LÄN</t>
        </is>
      </c>
      <c r="G291" t="inlineStr">
        <is>
          <t>ÄLMHULT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46316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46316</v>
      </c>
      <c r="F293" t="inlineStr">
        <is>
          <t>KRONOBERGS LÄN</t>
        </is>
      </c>
      <c r="G293" t="inlineStr">
        <is>
          <t>ÄLMHULT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46316</v>
      </c>
      <c r="F294" t="inlineStr">
        <is>
          <t>KRONOBERGS LÄN</t>
        </is>
      </c>
      <c r="G294" t="inlineStr">
        <is>
          <t>ÄLMHULT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45111</v>
      </c>
      <c r="E295" s="1" t="n">
        <v>46316</v>
      </c>
      <c r="F295" t="inlineStr">
        <is>
          <t>KRONOBERGS LÄN</t>
        </is>
      </c>
      <c r="G295" t="inlineStr">
        <is>
          <t>ÄLMHULT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46316</v>
      </c>
      <c r="F296" t="inlineStr">
        <is>
          <t>KRONOBERGS LÄN</t>
        </is>
      </c>
      <c r="G296" t="inlineStr">
        <is>
          <t>ÄLMHULT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45348</v>
      </c>
      <c r="E297" s="1" t="n">
        <v>46316</v>
      </c>
      <c r="F297" t="inlineStr">
        <is>
          <t>KRONOBERGS LÄN</t>
        </is>
      </c>
      <c r="G297" t="inlineStr">
        <is>
          <t>ÄLMHULT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54363-2023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45233</v>
      </c>
      <c r="E298" s="1" t="n">
        <v>46316</v>
      </c>
      <c r="F298" t="inlineStr">
        <is>
          <t>KRONOBERGS LÄN</t>
        </is>
      </c>
      <c r="G298" t="inlineStr">
        <is>
          <t>ÄLMHULT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54364-2023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45233</v>
      </c>
      <c r="E299" s="1" t="n">
        <v>46316</v>
      </c>
      <c r="F299" t="inlineStr">
        <is>
          <t>KRONOBERGS LÄN</t>
        </is>
      </c>
      <c r="G299" t="inlineStr">
        <is>
          <t>ÄLMHULT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67257-2021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44523</v>
      </c>
      <c r="E300" s="1" t="n">
        <v>46316</v>
      </c>
      <c r="F300" t="inlineStr">
        <is>
          <t>KRONOBERGS LÄN</t>
        </is>
      </c>
      <c r="G300" t="inlineStr">
        <is>
          <t>ÄLMHULT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49564-2023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46316</v>
      </c>
      <c r="F301" t="inlineStr">
        <is>
          <t>KRONOBERGS LÄN</t>
        </is>
      </c>
      <c r="G301" t="inlineStr">
        <is>
          <t>ÄLMHULT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45215</v>
      </c>
      <c r="E302" s="1" t="n">
        <v>46316</v>
      </c>
      <c r="F302" t="inlineStr">
        <is>
          <t>KRONOBERGS LÄN</t>
        </is>
      </c>
      <c r="G302" t="inlineStr">
        <is>
          <t>ÄLMHULT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46316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46316</v>
      </c>
      <c r="F304" t="inlineStr">
        <is>
          <t>KRONOBERGS LÄN</t>
        </is>
      </c>
      <c r="G304" t="inlineStr">
        <is>
          <t>ÄLMHULT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46316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46316</v>
      </c>
      <c r="F306" t="inlineStr">
        <is>
          <t>KRONOBERGS LÄN</t>
        </is>
      </c>
      <c r="G306" t="inlineStr">
        <is>
          <t>ÄLMHULT</t>
        </is>
      </c>
      <c r="H306" t="inlineStr">
        <is>
          <t>Kyrkan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46316</v>
      </c>
      <c r="F307" t="inlineStr">
        <is>
          <t>KRONOBERGS LÄN</t>
        </is>
      </c>
      <c r="G307" t="inlineStr">
        <is>
          <t>ÄLMHULT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46316</v>
      </c>
      <c r="F308" t="inlineStr">
        <is>
          <t>KRONOBERGS LÄN</t>
        </is>
      </c>
      <c r="G308" t="inlineStr">
        <is>
          <t>ÄLMHULT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45581</v>
      </c>
      <c r="E309" s="1" t="n">
        <v>46316</v>
      </c>
      <c r="F309" t="inlineStr">
        <is>
          <t>KRONOBERGS LÄN</t>
        </is>
      </c>
      <c r="G309" t="inlineStr">
        <is>
          <t>ÄLMHULT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46316</v>
      </c>
      <c r="F310" t="inlineStr">
        <is>
          <t>KRONOBERGS LÄN</t>
        </is>
      </c>
      <c r="G310" t="inlineStr">
        <is>
          <t>ÄLMHULT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46316</v>
      </c>
      <c r="F311" t="inlineStr">
        <is>
          <t>KRONOBERGS LÄN</t>
        </is>
      </c>
      <c r="G311" t="inlineStr">
        <is>
          <t>ÄLMHULT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46316</v>
      </c>
      <c r="F312" t="inlineStr">
        <is>
          <t>KRONOBERGS LÄN</t>
        </is>
      </c>
      <c r="G312" t="inlineStr">
        <is>
          <t>ÄLMHULT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46316</v>
      </c>
      <c r="F313" t="inlineStr">
        <is>
          <t>KRONOBERGS LÄN</t>
        </is>
      </c>
      <c r="G313" t="inlineStr">
        <is>
          <t>ÄLMHULT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45531</v>
      </c>
      <c r="E314" s="1" t="n">
        <v>46316</v>
      </c>
      <c r="F314" t="inlineStr">
        <is>
          <t>KRONOBERGS LÄN</t>
        </is>
      </c>
      <c r="G314" t="inlineStr">
        <is>
          <t>ÄLMHULT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46316</v>
      </c>
      <c r="F315" t="inlineStr">
        <is>
          <t>KRONOBERGS LÄN</t>
        </is>
      </c>
      <c r="G315" t="inlineStr">
        <is>
          <t>ÄLMHULT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46316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13606-2023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45006</v>
      </c>
      <c r="E317" s="1" t="n">
        <v>46316</v>
      </c>
      <c r="F317" t="inlineStr">
        <is>
          <t>KRONOBERGS LÄN</t>
        </is>
      </c>
      <c r="G317" t="inlineStr">
        <is>
          <t>ÄLMHULT</t>
        </is>
      </c>
      <c r="H317" t="inlineStr">
        <is>
          <t>Kommuner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46316</v>
      </c>
      <c r="F318" t="inlineStr">
        <is>
          <t>KRONOBERGS LÄN</t>
        </is>
      </c>
      <c r="G318" t="inlineStr">
        <is>
          <t>ÄLMHULT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46316</v>
      </c>
      <c r="F319" t="inlineStr">
        <is>
          <t>KRONOBERGS LÄN</t>
        </is>
      </c>
      <c r="G319" t="inlineStr">
        <is>
          <t>ÄLMHULT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45734</v>
      </c>
      <c r="E320" s="1" t="n">
        <v>46316</v>
      </c>
      <c r="F320" t="inlineStr">
        <is>
          <t>KRONOBERGS LÄN</t>
        </is>
      </c>
      <c r="G320" t="inlineStr">
        <is>
          <t>ÄLMHULT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46316</v>
      </c>
      <c r="F321" t="inlineStr">
        <is>
          <t>KRONOBERGS LÄN</t>
        </is>
      </c>
      <c r="G321" t="inlineStr">
        <is>
          <t>ÄLMHULT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46316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46316</v>
      </c>
      <c r="F323" t="inlineStr">
        <is>
          <t>KRONOBERGS LÄN</t>
        </is>
      </c>
      <c r="G323" t="inlineStr">
        <is>
          <t>ÄLMHULT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45376</v>
      </c>
      <c r="E324" s="1" t="n">
        <v>46316</v>
      </c>
      <c r="F324" t="inlineStr">
        <is>
          <t>KRONOBERGS LÄN</t>
        </is>
      </c>
      <c r="G324" t="inlineStr">
        <is>
          <t>ÄLMHULT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33944-2023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45134</v>
      </c>
      <c r="E325" s="1" t="n">
        <v>46316</v>
      </c>
      <c r="F325" t="inlineStr">
        <is>
          <t>KRONOBERGS LÄN</t>
        </is>
      </c>
      <c r="G325" t="inlineStr">
        <is>
          <t>ÄLMHULT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28026-2024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45476</v>
      </c>
      <c r="E326" s="1" t="n">
        <v>46316</v>
      </c>
      <c r="F326" t="inlineStr">
        <is>
          <t>KRONOBERGS LÄN</t>
        </is>
      </c>
      <c r="G326" t="inlineStr">
        <is>
          <t>ÄLMHULT</t>
        </is>
      </c>
      <c r="I326" t="n">
        <v>11.8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46316</v>
      </c>
      <c r="F327" t="inlineStr">
        <is>
          <t>KRONOBERGS LÄN</t>
        </is>
      </c>
      <c r="G327" t="inlineStr">
        <is>
          <t>ÄLMHULT</t>
        </is>
      </c>
      <c r="H327" t="inlineStr">
        <is>
          <t>Kyrkan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46316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45373</v>
      </c>
      <c r="E329" s="1" t="n">
        <v>46316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46316</v>
      </c>
      <c r="F330" t="inlineStr">
        <is>
          <t>KRONOBERGS LÄN</t>
        </is>
      </c>
      <c r="G330" t="inlineStr">
        <is>
          <t>ÄLMHULT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64999-2023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45286</v>
      </c>
      <c r="E331" s="1" t="n">
        <v>46316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45010</v>
      </c>
      <c r="E332" s="1" t="n">
        <v>46316</v>
      </c>
      <c r="F332" t="inlineStr">
        <is>
          <t>KRONOBERGS LÄN</t>
        </is>
      </c>
      <c r="G332" t="inlineStr">
        <is>
          <t>ÄLMHULT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46316</v>
      </c>
      <c r="F333" t="inlineStr">
        <is>
          <t>KRONOBERGS LÄN</t>
        </is>
      </c>
      <c r="G333" t="inlineStr">
        <is>
          <t>ÄLMHULT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46316</v>
      </c>
      <c r="F334" t="inlineStr">
        <is>
          <t>KRONOBERGS LÄN</t>
        </is>
      </c>
      <c r="G334" t="inlineStr">
        <is>
          <t>ÄLMHULT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46147</v>
      </c>
      <c r="E335" s="1" t="n">
        <v>46316</v>
      </c>
      <c r="F335" t="inlineStr">
        <is>
          <t>KRONOBERGS LÄN</t>
        </is>
      </c>
      <c r="G335" t="inlineStr">
        <is>
          <t>ÄLMHULT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46316</v>
      </c>
      <c r="F336" t="inlineStr">
        <is>
          <t>KRONOBERGS LÄN</t>
        </is>
      </c>
      <c r="G336" t="inlineStr">
        <is>
          <t>ÄLMHULT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45355</v>
      </c>
      <c r="E337" s="1" t="n">
        <v>46316</v>
      </c>
      <c r="F337" t="inlineStr">
        <is>
          <t>KRONOBERGS LÄN</t>
        </is>
      </c>
      <c r="G337" t="inlineStr">
        <is>
          <t>ÄLMHULT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46316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35102-2024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45529</v>
      </c>
      <c r="E339" s="1" t="n">
        <v>46316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46316</v>
      </c>
      <c r="F340" t="inlineStr">
        <is>
          <t>KRONOBERGS LÄN</t>
        </is>
      </c>
      <c r="G340" t="inlineStr">
        <is>
          <t>ÄLMHULT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46316</v>
      </c>
      <c r="F341" t="inlineStr">
        <is>
          <t>KRONOBERGS LÄN</t>
        </is>
      </c>
      <c r="G341" t="inlineStr">
        <is>
          <t>ÄLMHULT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46316</v>
      </c>
      <c r="F342" t="inlineStr">
        <is>
          <t>KRONOBERGS LÄN</t>
        </is>
      </c>
      <c r="G342" t="inlineStr">
        <is>
          <t>ÄLMHULT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46316</v>
      </c>
      <c r="F343" t="inlineStr">
        <is>
          <t>KRONOBERGS LÄN</t>
        </is>
      </c>
      <c r="G343" t="inlineStr">
        <is>
          <t>ÄLMHULT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45010</v>
      </c>
      <c r="E344" s="1" t="n">
        <v>46316</v>
      </c>
      <c r="F344" t="inlineStr">
        <is>
          <t>KRONOBERGS LÄN</t>
        </is>
      </c>
      <c r="G344" t="inlineStr">
        <is>
          <t>ÄLMHULT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62812-2023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46316</v>
      </c>
      <c r="F345" t="inlineStr">
        <is>
          <t>KRONOBERGS LÄN</t>
        </is>
      </c>
      <c r="G345" t="inlineStr">
        <is>
          <t>ÄLMHULT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46316</v>
      </c>
      <c r="F346" t="inlineStr">
        <is>
          <t>KRONOBERGS LÄN</t>
        </is>
      </c>
      <c r="G346" t="inlineStr">
        <is>
          <t>ÄLMHULT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46316</v>
      </c>
      <c r="F347" t="inlineStr">
        <is>
          <t>KRONOBERGS LÄN</t>
        </is>
      </c>
      <c r="G347" t="inlineStr">
        <is>
          <t>ÄLMHULT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46316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71802-2021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44543</v>
      </c>
      <c r="E349" s="1" t="n">
        <v>46316</v>
      </c>
      <c r="F349" t="inlineStr">
        <is>
          <t>KRONOBERGS LÄN</t>
        </is>
      </c>
      <c r="G349" t="inlineStr">
        <is>
          <t>ÄLMHULT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44865</v>
      </c>
      <c r="E350" s="1" t="n">
        <v>46316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12093-2025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45728</v>
      </c>
      <c r="E351" s="1" t="n">
        <v>46316</v>
      </c>
      <c r="F351" t="inlineStr">
        <is>
          <t>KRONOBERGS LÄN</t>
        </is>
      </c>
      <c r="G351" t="inlineStr">
        <is>
          <t>ÄLMHULT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45048</v>
      </c>
      <c r="E352" s="1" t="n">
        <v>46316</v>
      </c>
      <c r="F352" t="inlineStr">
        <is>
          <t>KRONOBERGS LÄN</t>
        </is>
      </c>
      <c r="G352" t="inlineStr">
        <is>
          <t>ÄLMHULT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46316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46316</v>
      </c>
      <c r="F354" t="inlineStr">
        <is>
          <t>KRONOBERGS LÄN</t>
        </is>
      </c>
      <c r="G354" t="inlineStr">
        <is>
          <t>ÄLMHULT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45282</v>
      </c>
      <c r="E355" s="1" t="n">
        <v>46316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46316</v>
      </c>
      <c r="F356" t="inlineStr">
        <is>
          <t>KRONOBERGS LÄN</t>
        </is>
      </c>
      <c r="G356" t="inlineStr">
        <is>
          <t>ÄLMHULT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46316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46316</v>
      </c>
      <c r="F358" t="inlineStr">
        <is>
          <t>KRONOBERGS LÄN</t>
        </is>
      </c>
      <c r="G358" t="inlineStr">
        <is>
          <t>ÄLMHULT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46316</v>
      </c>
      <c r="F359" t="inlineStr">
        <is>
          <t>KRONOBERGS LÄN</t>
        </is>
      </c>
      <c r="G359" t="inlineStr">
        <is>
          <t>ÄLMHULT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45612</v>
      </c>
      <c r="E360" s="1" t="n">
        <v>46316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46316</v>
      </c>
      <c r="F361" t="inlineStr">
        <is>
          <t>KRONOBERGS LÄN</t>
        </is>
      </c>
      <c r="G361" t="inlineStr">
        <is>
          <t>ÄLMHULT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46316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46316</v>
      </c>
      <c r="F363" t="inlineStr">
        <is>
          <t>KRONOBERGS LÄN</t>
        </is>
      </c>
      <c r="G363" t="inlineStr">
        <is>
          <t>ÄLMHULT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46316</v>
      </c>
      <c r="F364" t="inlineStr">
        <is>
          <t>KRONOBERGS LÄN</t>
        </is>
      </c>
      <c r="G364" t="inlineStr">
        <is>
          <t>ÄLMHULT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46316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46316</v>
      </c>
      <c r="F366" t="inlineStr">
        <is>
          <t>KRONOBERGS LÄN</t>
        </is>
      </c>
      <c r="G366" t="inlineStr">
        <is>
          <t>ÄLMHULT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46316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45539</v>
      </c>
      <c r="E368" s="1" t="n">
        <v>46316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45311</v>
      </c>
      <c r="E369" s="1" t="n">
        <v>46316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45308</v>
      </c>
      <c r="E370" s="1" t="n">
        <v>46316</v>
      </c>
      <c r="F370" t="inlineStr">
        <is>
          <t>KRONOBERGS LÄN</t>
        </is>
      </c>
      <c r="G370" t="inlineStr">
        <is>
          <t>ÄLMHULT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45384</v>
      </c>
      <c r="E371" s="1" t="n">
        <v>46316</v>
      </c>
      <c r="F371" t="inlineStr">
        <is>
          <t>KRONOBERGS LÄN</t>
        </is>
      </c>
      <c r="G371" t="inlineStr">
        <is>
          <t>ÄLMHULT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45374</v>
      </c>
      <c r="E372" s="1" t="n">
        <v>46316</v>
      </c>
      <c r="F372" t="inlineStr">
        <is>
          <t>KRONOBERGS LÄN</t>
        </is>
      </c>
      <c r="G372" t="inlineStr">
        <is>
          <t>ÄLMHULT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46316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46316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46316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46316</v>
      </c>
      <c r="F376" t="inlineStr">
        <is>
          <t>KRONOBERGS LÄN</t>
        </is>
      </c>
      <c r="G376" t="inlineStr">
        <is>
          <t>ÄLMHULT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46316</v>
      </c>
      <c r="F377" t="inlineStr">
        <is>
          <t>KRONOBERGS LÄN</t>
        </is>
      </c>
      <c r="G377" t="inlineStr">
        <is>
          <t>ÄLMHULT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46316</v>
      </c>
      <c r="F378" t="inlineStr">
        <is>
          <t>KRONOBERGS LÄN</t>
        </is>
      </c>
      <c r="G378" t="inlineStr">
        <is>
          <t>ÄLMHULT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45653</v>
      </c>
      <c r="E379" s="1" t="n">
        <v>46316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46316</v>
      </c>
      <c r="F380" t="inlineStr">
        <is>
          <t>KRONOBERGS LÄN</t>
        </is>
      </c>
      <c r="G380" t="inlineStr">
        <is>
          <t>ÄLMHULT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46316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46316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46316</v>
      </c>
      <c r="F383" t="inlineStr">
        <is>
          <t>KRONOBERGS LÄN</t>
        </is>
      </c>
      <c r="G383" t="inlineStr">
        <is>
          <t>ÄLMHULT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46184</v>
      </c>
      <c r="E384" s="1" t="n">
        <v>46316</v>
      </c>
      <c r="F384" t="inlineStr">
        <is>
          <t>KRONOBERGS LÄN</t>
        </is>
      </c>
      <c r="G384" t="inlineStr">
        <is>
          <t>ÄLMHULT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44973</v>
      </c>
      <c r="E385" s="1" t="n">
        <v>46316</v>
      </c>
      <c r="F385" t="inlineStr">
        <is>
          <t>KRONOBERGS LÄN</t>
        </is>
      </c>
      <c r="G385" t="inlineStr">
        <is>
          <t>ÄLMHULT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46316</v>
      </c>
      <c r="F386" t="inlineStr">
        <is>
          <t>KRONOBERGS LÄN</t>
        </is>
      </c>
      <c r="G386" t="inlineStr">
        <is>
          <t>ÄLMHULT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46316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46316</v>
      </c>
      <c r="F388" t="inlineStr">
        <is>
          <t>KRONOBERGS LÄN</t>
        </is>
      </c>
      <c r="G388" t="inlineStr">
        <is>
          <t>ÄLMHULT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59124-2022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46316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46316</v>
      </c>
      <c r="F390" t="inlineStr">
        <is>
          <t>KRONOBERGS LÄN</t>
        </is>
      </c>
      <c r="G390" t="inlineStr">
        <is>
          <t>ÄLMHULT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56955-2024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45628</v>
      </c>
      <c r="E391" s="1" t="n">
        <v>46316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8260-2024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45352</v>
      </c>
      <c r="E392" s="1" t="n">
        <v>46316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46316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45513</v>
      </c>
      <c r="E394" s="1" t="n">
        <v>46316</v>
      </c>
      <c r="F394" t="inlineStr">
        <is>
          <t>KRONOBERGS LÄN</t>
        </is>
      </c>
      <c r="G394" t="inlineStr">
        <is>
          <t>ÄLMHULT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46316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46316</v>
      </c>
      <c r="F396" t="inlineStr">
        <is>
          <t>KRONOBERGS LÄN</t>
        </is>
      </c>
      <c r="G396" t="inlineStr">
        <is>
          <t>ÄLMHULT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46472-2023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45191</v>
      </c>
      <c r="E397" s="1" t="n">
        <v>46316</v>
      </c>
      <c r="F397" t="inlineStr">
        <is>
          <t>KRONOBERGS LÄN</t>
        </is>
      </c>
      <c r="G397" t="inlineStr">
        <is>
          <t>ÄLMHULT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46316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45251</v>
      </c>
      <c r="E399" s="1" t="n">
        <v>46316</v>
      </c>
      <c r="F399" t="inlineStr">
        <is>
          <t>KRONOBERGS LÄN</t>
        </is>
      </c>
      <c r="G399" t="inlineStr">
        <is>
          <t>ÄLMHULT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46316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46316</v>
      </c>
      <c r="F401" t="inlineStr">
        <is>
          <t>KRONOBERGS LÄN</t>
        </is>
      </c>
      <c r="G401" t="inlineStr">
        <is>
          <t>ÄLMHULT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45589</v>
      </c>
      <c r="E402" s="1" t="n">
        <v>46316</v>
      </c>
      <c r="F402" t="inlineStr">
        <is>
          <t>KRONOBERGS LÄN</t>
        </is>
      </c>
      <c r="G402" t="inlineStr">
        <is>
          <t>ÄLMHULT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46316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46316</v>
      </c>
      <c r="F404" t="inlineStr">
        <is>
          <t>KRONOBERGS LÄN</t>
        </is>
      </c>
      <c r="G404" t="inlineStr">
        <is>
          <t>ÄLMHULT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46316</v>
      </c>
      <c r="F405" t="inlineStr">
        <is>
          <t>KRONOBERGS LÄN</t>
        </is>
      </c>
      <c r="G405" t="inlineStr">
        <is>
          <t>ÄLMHULT</t>
        </is>
      </c>
      <c r="H405" t="inlineStr">
        <is>
          <t>Kyrkan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46316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46316</v>
      </c>
      <c r="F407" t="inlineStr">
        <is>
          <t>KRONOBERGS LÄN</t>
        </is>
      </c>
      <c r="G407" t="inlineStr">
        <is>
          <t>ÄLMHULT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46316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46316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46316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45412</v>
      </c>
      <c r="E411" s="1" t="n">
        <v>46316</v>
      </c>
      <c r="F411" t="inlineStr">
        <is>
          <t>KRONOBERGS LÄN</t>
        </is>
      </c>
      <c r="G411" t="inlineStr">
        <is>
          <t>ÄLMHULT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46316</v>
      </c>
      <c r="F412" t="inlineStr">
        <is>
          <t>KRONOBERGS LÄN</t>
        </is>
      </c>
      <c r="G412" t="inlineStr">
        <is>
          <t>ÄLMHULT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45113</v>
      </c>
      <c r="E413" s="1" t="n">
        <v>46316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45421</v>
      </c>
      <c r="E414" s="1" t="n">
        <v>46316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45558</v>
      </c>
      <c r="E415" s="1" t="n">
        <v>46316</v>
      </c>
      <c r="F415" t="inlineStr">
        <is>
          <t>KRONOBERGS LÄN</t>
        </is>
      </c>
      <c r="G415" t="inlineStr">
        <is>
          <t>ÄLMHULT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25707-2023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46316</v>
      </c>
      <c r="F416" t="inlineStr">
        <is>
          <t>KRONOBERGS LÄN</t>
        </is>
      </c>
      <c r="G416" t="inlineStr">
        <is>
          <t>ÄLMHULT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46316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46316</v>
      </c>
      <c r="F418" t="inlineStr">
        <is>
          <t>KRONOBERGS LÄN</t>
        </is>
      </c>
      <c r="G418" t="inlineStr">
        <is>
          <t>ÄLMHULT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46316</v>
      </c>
      <c r="F419" t="inlineStr">
        <is>
          <t>KRONOBERGS LÄN</t>
        </is>
      </c>
      <c r="G419" t="inlineStr">
        <is>
          <t>ÄLMHULT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46316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46316</v>
      </c>
      <c r="F421" t="inlineStr">
        <is>
          <t>KRONOBERGS LÄN</t>
        </is>
      </c>
      <c r="G421" t="inlineStr">
        <is>
          <t>ÄLMHULT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46316</v>
      </c>
      <c r="F422" t="inlineStr">
        <is>
          <t>KRONOBERGS LÄN</t>
        </is>
      </c>
      <c r="G422" t="inlineStr">
        <is>
          <t>ÄLMHULT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46316</v>
      </c>
      <c r="F423" t="inlineStr">
        <is>
          <t>KRONOBERGS LÄN</t>
        </is>
      </c>
      <c r="G423" t="inlineStr">
        <is>
          <t>ÄLMHULT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46316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45268</v>
      </c>
      <c r="E425" s="1" t="n">
        <v>46316</v>
      </c>
      <c r="F425" t="inlineStr">
        <is>
          <t>KRONOBERGS LÄN</t>
        </is>
      </c>
      <c r="G425" t="inlineStr">
        <is>
          <t>ÄLMHULT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46316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46316</v>
      </c>
      <c r="F427" t="inlineStr">
        <is>
          <t>KRONOBERGS LÄN</t>
        </is>
      </c>
      <c r="G427" t="inlineStr">
        <is>
          <t>ÄLMHULT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46316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45177</v>
      </c>
      <c r="E429" s="1" t="n">
        <v>46316</v>
      </c>
      <c r="F429" t="inlineStr">
        <is>
          <t>KRONOBERGS LÄN</t>
        </is>
      </c>
      <c r="G429" t="inlineStr">
        <is>
          <t>ÄLMHULT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46316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46216</v>
      </c>
      <c r="E431" s="1" t="n">
        <v>46316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46316</v>
      </c>
      <c r="F432" t="inlineStr">
        <is>
          <t>KRONOBERGS LÄN</t>
        </is>
      </c>
      <c r="G432" t="inlineStr">
        <is>
          <t>ÄLMHULT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11014-2023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44986</v>
      </c>
      <c r="E433" s="1" t="n">
        <v>46316</v>
      </c>
      <c r="F433" t="inlineStr">
        <is>
          <t>KRONOBERGS LÄN</t>
        </is>
      </c>
      <c r="G433" t="inlineStr">
        <is>
          <t>ÄLMHULT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46316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46316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31112-2026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46216</v>
      </c>
      <c r="E436" s="1" t="n">
        <v>46316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46316</v>
      </c>
      <c r="F437" t="inlineStr">
        <is>
          <t>KRONOBERGS LÄN</t>
        </is>
      </c>
      <c r="G437" t="inlineStr">
        <is>
          <t>ÄLMHULT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46316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46316</v>
      </c>
      <c r="F439" t="inlineStr">
        <is>
          <t>KRONOBERGS LÄN</t>
        </is>
      </c>
      <c r="G439" t="inlineStr">
        <is>
          <t>ÄLMHULT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24333-2023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45081</v>
      </c>
      <c r="E440" s="1" t="n">
        <v>46316</v>
      </c>
      <c r="F440" t="inlineStr">
        <is>
          <t>KRONOBERGS LÄN</t>
        </is>
      </c>
      <c r="G440" t="inlineStr">
        <is>
          <t>ÄLMHULT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46226</v>
      </c>
      <c r="E441" s="1" t="n">
        <v>46316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46226</v>
      </c>
      <c r="E442" s="1" t="n">
        <v>46316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46226</v>
      </c>
      <c r="E443" s="1" t="n">
        <v>46316</v>
      </c>
      <c r="F443" t="inlineStr">
        <is>
          <t>KRONOBERGS LÄN</t>
        </is>
      </c>
      <c r="G443" t="inlineStr">
        <is>
          <t>ÄLMHULT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46316</v>
      </c>
      <c r="F444" t="inlineStr">
        <is>
          <t>KRONOBERGS LÄN</t>
        </is>
      </c>
      <c r="G444" t="inlineStr">
        <is>
          <t>ÄLMHULT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46227</v>
      </c>
      <c r="E445" s="1" t="n">
        <v>46316</v>
      </c>
      <c r="F445" t="inlineStr">
        <is>
          <t>KRONOBERGS LÄN</t>
        </is>
      </c>
      <c r="G445" t="inlineStr">
        <is>
          <t>ÄLMHULT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46227</v>
      </c>
      <c r="E446" s="1" t="n">
        <v>46316</v>
      </c>
      <c r="F446" t="inlineStr">
        <is>
          <t>KRONOBERGS LÄN</t>
        </is>
      </c>
      <c r="G446" t="inlineStr">
        <is>
          <t>ÄLMHULT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49442-2024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45595</v>
      </c>
      <c r="E447" s="1" t="n">
        <v>46316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44942</v>
      </c>
      <c r="E448" s="1" t="n">
        <v>46316</v>
      </c>
      <c r="F448" t="inlineStr">
        <is>
          <t>KRONOBERGS LÄN</t>
        </is>
      </c>
      <c r="G448" t="inlineStr">
        <is>
          <t>ÄLMHULT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45391</v>
      </c>
      <c r="E449" s="1" t="n">
        <v>46316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45373</v>
      </c>
      <c r="E450" s="1" t="n">
        <v>46316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46316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45155</v>
      </c>
      <c r="E452" s="1" t="n">
        <v>46316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32126-2026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46234</v>
      </c>
      <c r="E453" s="1" t="n">
        <v>46316</v>
      </c>
      <c r="F453" t="inlineStr">
        <is>
          <t>KRONOBERGS LÄN</t>
        </is>
      </c>
      <c r="G453" t="inlineStr">
        <is>
          <t>ÄLMHULT</t>
        </is>
      </c>
      <c r="H453" t="inlineStr">
        <is>
          <t>Kommuner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46316</v>
      </c>
      <c r="F454" t="inlineStr">
        <is>
          <t>KRONOBERGS LÄN</t>
        </is>
      </c>
      <c r="G454" t="inlineStr">
        <is>
          <t>ÄLMHULT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46280</v>
      </c>
      <c r="E455" s="1" t="n">
        <v>46316</v>
      </c>
      <c r="F455" t="inlineStr">
        <is>
          <t>KRONOBERGS LÄN</t>
        </is>
      </c>
      <c r="G455" t="inlineStr">
        <is>
          <t>ÄLMHULT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45564</v>
      </c>
      <c r="E456" s="1" t="n">
        <v>46316</v>
      </c>
      <c r="F456" t="inlineStr">
        <is>
          <t>KRONOBERGS LÄN</t>
        </is>
      </c>
      <c r="G456" t="inlineStr">
        <is>
          <t>ÄLMHULT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14283-2023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45010</v>
      </c>
      <c r="E457" s="1" t="n">
        <v>46316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46316</v>
      </c>
      <c r="F458" t="inlineStr">
        <is>
          <t>KRONOBERGS LÄN</t>
        </is>
      </c>
      <c r="G458" t="inlineStr">
        <is>
          <t>ÄLMHULT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46316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46316</v>
      </c>
      <c r="F460" t="inlineStr">
        <is>
          <t>KRONOBERGS LÄN</t>
        </is>
      </c>
      <c r="G460" t="inlineStr">
        <is>
          <t>ÄLMHULT</t>
        </is>
      </c>
      <c r="H460" t="inlineStr">
        <is>
          <t>Kyrkan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45214</v>
      </c>
      <c r="E461" s="1" t="n">
        <v>46316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50541-2023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46316</v>
      </c>
      <c r="F462" t="inlineStr">
        <is>
          <t>KRONOBERGS LÄN</t>
        </is>
      </c>
      <c r="G462" t="inlineStr">
        <is>
          <t>ÄLMHULT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37297-2023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46316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46316</v>
      </c>
      <c r="F464" t="inlineStr">
        <is>
          <t>KRONOBERGS LÄN</t>
        </is>
      </c>
      <c r="G464" t="inlineStr">
        <is>
          <t>ÄLMHULT</t>
        </is>
      </c>
      <c r="H464" t="inlineStr">
        <is>
          <t>Kyrkan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46316</v>
      </c>
      <c r="F465" t="inlineStr">
        <is>
          <t>KRONOBERGS LÄN</t>
        </is>
      </c>
      <c r="G465" t="inlineStr">
        <is>
          <t>ÄLMHULT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44942</v>
      </c>
      <c r="E466" s="1" t="n">
        <v>46316</v>
      </c>
      <c r="F466" t="inlineStr">
        <is>
          <t>KRONOBERGS LÄN</t>
        </is>
      </c>
      <c r="G466" t="inlineStr">
        <is>
          <t>ÄLMHULT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43522-2025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45911</v>
      </c>
      <c r="E467" s="1" t="n">
        <v>46316</v>
      </c>
      <c r="F467" t="inlineStr">
        <is>
          <t>KRONOBERGS LÄN</t>
        </is>
      </c>
      <c r="G467" t="inlineStr">
        <is>
          <t>ÄLMHULT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37151-2024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45539</v>
      </c>
      <c r="E468" s="1" t="n">
        <v>46316</v>
      </c>
      <c r="F468" t="inlineStr">
        <is>
          <t>KRONOBERGS LÄN</t>
        </is>
      </c>
      <c r="G468" t="inlineStr">
        <is>
          <t>ÄLMHULT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45355</v>
      </c>
      <c r="E469" s="1" t="n">
        <v>46316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54500-2022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44882</v>
      </c>
      <c r="E470" s="1" t="n">
        <v>46316</v>
      </c>
      <c r="F470" t="inlineStr">
        <is>
          <t>KRONOBERGS LÄN</t>
        </is>
      </c>
      <c r="G470" t="inlineStr">
        <is>
          <t>ÄLMHULT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46316</v>
      </c>
      <c r="F471" t="inlineStr">
        <is>
          <t>KRONOBERGS LÄN</t>
        </is>
      </c>
      <c r="G471" t="inlineStr">
        <is>
          <t>ÄLMHULT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41577-2023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45175</v>
      </c>
      <c r="E472" s="1" t="n">
        <v>46316</v>
      </c>
      <c r="F472" t="inlineStr">
        <is>
          <t>KRONOBERGS LÄN</t>
        </is>
      </c>
      <c r="G472" t="inlineStr">
        <is>
          <t>ÄLMHULT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45076</v>
      </c>
      <c r="E473" s="1" t="n">
        <v>46316</v>
      </c>
      <c r="F473" t="inlineStr">
        <is>
          <t>KRONOBERGS LÄN</t>
        </is>
      </c>
      <c r="G473" t="inlineStr">
        <is>
          <t>ÄLMHULT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46316</v>
      </c>
      <c r="F474" t="inlineStr">
        <is>
          <t>KRONOBERGS LÄN</t>
        </is>
      </c>
      <c r="G474" t="inlineStr">
        <is>
          <t>ÄLMHULT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46316</v>
      </c>
      <c r="F475" t="inlineStr">
        <is>
          <t>KRONOBERGS LÄN</t>
        </is>
      </c>
      <c r="G475" t="inlineStr">
        <is>
          <t>ÄLMHULT</t>
        </is>
      </c>
      <c r="I475" t="n">
        <v>29.1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45653</v>
      </c>
      <c r="E476" s="1" t="n">
        <v>46316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46316</v>
      </c>
      <c r="F477" t="inlineStr">
        <is>
          <t>KRONOBERGS LÄN</t>
        </is>
      </c>
      <c r="G477" t="inlineStr">
        <is>
          <t>ÄLMHULT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68212-2021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44526</v>
      </c>
      <c r="E478" s="1" t="n">
        <v>46316</v>
      </c>
      <c r="F478" t="inlineStr">
        <is>
          <t>KRONOBERGS LÄN</t>
        </is>
      </c>
      <c r="G478" t="inlineStr">
        <is>
          <t>ÄLMHULT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46287</v>
      </c>
      <c r="E479" s="1" t="n">
        <v>46316</v>
      </c>
      <c r="F479" t="inlineStr">
        <is>
          <t>KRONOBERGS LÄN</t>
        </is>
      </c>
      <c r="G479" t="inlineStr">
        <is>
          <t>ÄLMHULT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46316</v>
      </c>
      <c r="F480" t="inlineStr">
        <is>
          <t>KRONOBERGS LÄN</t>
        </is>
      </c>
      <c r="G480" t="inlineStr">
        <is>
          <t>ÄLMHULT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46287</v>
      </c>
      <c r="E481" s="1" t="n">
        <v>46316</v>
      </c>
      <c r="F481" t="inlineStr">
        <is>
          <t>KRONOBERGS LÄN</t>
        </is>
      </c>
      <c r="G481" t="inlineStr">
        <is>
          <t>ÄLMHULT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45612</v>
      </c>
      <c r="E482" s="1" t="n">
        <v>46316</v>
      </c>
      <c r="F482" t="inlineStr">
        <is>
          <t>KRONOBERGS LÄN</t>
        </is>
      </c>
      <c r="G482" t="inlineStr">
        <is>
          <t>ÄLMHULT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46287</v>
      </c>
      <c r="E483" s="1" t="n">
        <v>46316</v>
      </c>
      <c r="F483" t="inlineStr">
        <is>
          <t>KRONOBERGS LÄN</t>
        </is>
      </c>
      <c r="G483" t="inlineStr">
        <is>
          <t>ÄLMHULT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46287</v>
      </c>
      <c r="E484" s="1" t="n">
        <v>46316</v>
      </c>
      <c r="F484" t="inlineStr">
        <is>
          <t>KRONOBERGS LÄN</t>
        </is>
      </c>
      <c r="G484" t="inlineStr">
        <is>
          <t>ÄLMHULT</t>
        </is>
      </c>
      <c r="I484" t="n">
        <v>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39225-2026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46287</v>
      </c>
      <c r="E485" s="1" t="n">
        <v>46316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46316</v>
      </c>
      <c r="F486" t="inlineStr">
        <is>
          <t>KRONOBERGS LÄN</t>
        </is>
      </c>
      <c r="G486" t="inlineStr">
        <is>
          <t>ÄLMHULT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56660-2024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46316</v>
      </c>
      <c r="F487" t="inlineStr">
        <is>
          <t>KRONOBERGS LÄN</t>
        </is>
      </c>
      <c r="G487" t="inlineStr">
        <is>
          <t>ÄLMHULT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46316</v>
      </c>
      <c r="F488" t="inlineStr">
        <is>
          <t>KRONOBERGS LÄN</t>
        </is>
      </c>
      <c r="G488" t="inlineStr">
        <is>
          <t>ÄLMHULT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46316</v>
      </c>
      <c r="F489" t="inlineStr">
        <is>
          <t>KRONOBERGS LÄN</t>
        </is>
      </c>
      <c r="G489" t="inlineStr">
        <is>
          <t>ÄLMHULT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38823-2022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44816</v>
      </c>
      <c r="E490" s="1" t="n">
        <v>46316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46316</v>
      </c>
      <c r="F491" t="inlineStr">
        <is>
          <t>KRONOBERGS LÄN</t>
        </is>
      </c>
      <c r="G491" t="inlineStr">
        <is>
          <t>ÄLMHULT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46316</v>
      </c>
      <c r="F492" t="inlineStr">
        <is>
          <t>KRONOBERGS LÄN</t>
        </is>
      </c>
      <c r="G492" t="inlineStr">
        <is>
          <t>ÄLMHULT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44502-2025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45916</v>
      </c>
      <c r="E493" s="1" t="n">
        <v>46316</v>
      </c>
      <c r="F493" t="inlineStr">
        <is>
          <t>KRONOBERGS LÄN</t>
        </is>
      </c>
      <c r="G493" t="inlineStr">
        <is>
          <t>ÄLMHULT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46290</v>
      </c>
      <c r="E494" s="1" t="n">
        <v>46316</v>
      </c>
      <c r="F494" t="inlineStr">
        <is>
          <t>KRONOBERGS LÄN</t>
        </is>
      </c>
      <c r="G494" t="inlineStr">
        <is>
          <t>ÄLMHULT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46316</v>
      </c>
      <c r="F495" t="inlineStr">
        <is>
          <t>KRONOBERGS LÄN</t>
        </is>
      </c>
      <c r="G495" t="inlineStr">
        <is>
          <t>ÄLMHULT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46316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46248</v>
      </c>
      <c r="E497" s="1" t="n">
        <v>46316</v>
      </c>
      <c r="F497" t="inlineStr">
        <is>
          <t>KRONOBERGS LÄN</t>
        </is>
      </c>
      <c r="G497" t="inlineStr">
        <is>
          <t>ÄLMHULT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46316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46316</v>
      </c>
      <c r="F499" t="inlineStr">
        <is>
          <t>KRONOBERGS LÄN</t>
        </is>
      </c>
      <c r="G499" t="inlineStr">
        <is>
          <t>ÄLMHULT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46316</v>
      </c>
      <c r="F500" t="inlineStr">
        <is>
          <t>KRONOBERGS LÄN</t>
        </is>
      </c>
      <c r="G500" t="inlineStr">
        <is>
          <t>ÄLMHULT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46316</v>
      </c>
      <c r="F501" t="inlineStr">
        <is>
          <t>KRONOBERGS LÄN</t>
        </is>
      </c>
      <c r="G501" t="inlineStr">
        <is>
          <t>ÄLMHULT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60487-2022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44911</v>
      </c>
      <c r="E502" s="1" t="n">
        <v>46316</v>
      </c>
      <c r="F502" t="inlineStr">
        <is>
          <t>KRONOBERGS LÄN</t>
        </is>
      </c>
      <c r="G502" t="inlineStr">
        <is>
          <t>ÄLMHULT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46251</v>
      </c>
      <c r="E503" s="1" t="n">
        <v>46316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46248</v>
      </c>
      <c r="E504" s="1" t="n">
        <v>46316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46316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46316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45748</v>
      </c>
      <c r="E507" s="1" t="n">
        <v>46316</v>
      </c>
      <c r="F507" t="inlineStr">
        <is>
          <t>KRONOBERGS LÄN</t>
        </is>
      </c>
      <c r="G507" t="inlineStr">
        <is>
          <t>ÄLMHULT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46316</v>
      </c>
      <c r="F508" t="inlineStr">
        <is>
          <t>KRONOBERGS LÄN</t>
        </is>
      </c>
      <c r="G508" t="inlineStr">
        <is>
          <t>ÄLMHULT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45378</v>
      </c>
      <c r="E509" s="1" t="n">
        <v>46316</v>
      </c>
      <c r="F509" t="inlineStr">
        <is>
          <t>KRONOBERGS LÄN</t>
        </is>
      </c>
      <c r="G509" t="inlineStr">
        <is>
          <t>ÄLMHULT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46316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46290</v>
      </c>
      <c r="E511" s="1" t="n">
        <v>46316</v>
      </c>
      <c r="F511" t="inlineStr">
        <is>
          <t>KRONOBERGS LÄN</t>
        </is>
      </c>
      <c r="G511" t="inlineStr">
        <is>
          <t>ÄLMHULT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46316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11222-2023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44992</v>
      </c>
      <c r="E513" s="1" t="n">
        <v>46316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46316</v>
      </c>
      <c r="F514" t="inlineStr">
        <is>
          <t>KRONOBERGS LÄN</t>
        </is>
      </c>
      <c r="G514" t="inlineStr">
        <is>
          <t>ÄLMHULT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46316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45588</v>
      </c>
      <c r="E516" s="1" t="n">
        <v>46316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45246</v>
      </c>
      <c r="E517" s="1" t="n">
        <v>46316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50183-2022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44865</v>
      </c>
      <c r="E518" s="1" t="n">
        <v>46316</v>
      </c>
      <c r="F518" t="inlineStr">
        <is>
          <t>KRONOBERGS LÄN</t>
        </is>
      </c>
      <c r="G518" t="inlineStr">
        <is>
          <t>ÄLMHULT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20120-2022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44698</v>
      </c>
      <c r="E519" s="1" t="n">
        <v>46316</v>
      </c>
      <c r="F519" t="inlineStr">
        <is>
          <t>KRONOBERGS LÄN</t>
        </is>
      </c>
      <c r="G519" t="inlineStr">
        <is>
          <t>ÄLMHULT</t>
        </is>
      </c>
      <c r="I519" t="n">
        <v>11.9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46316</v>
      </c>
      <c r="F520" t="inlineStr">
        <is>
          <t>KRONOBERGS LÄN</t>
        </is>
      </c>
      <c r="G520" t="inlineStr">
        <is>
          <t>ÄLMHULT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44672-2023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45189</v>
      </c>
      <c r="E521" s="1" t="n">
        <v>46316</v>
      </c>
      <c r="F521" t="inlineStr">
        <is>
          <t>KRONOBERGS LÄN</t>
        </is>
      </c>
      <c r="G521" t="inlineStr">
        <is>
          <t>ÄLMHULT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46294</v>
      </c>
      <c r="E522" s="1" t="n">
        <v>46316</v>
      </c>
      <c r="F522" t="inlineStr">
        <is>
          <t>KRONOBERGS LÄN</t>
        </is>
      </c>
      <c r="G522" t="inlineStr">
        <is>
          <t>ÄLMHULT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46295</v>
      </c>
      <c r="E523" s="1" t="n">
        <v>46316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46316</v>
      </c>
      <c r="F524" t="inlineStr">
        <is>
          <t>KRONOBERGS LÄN</t>
        </is>
      </c>
      <c r="G524" t="inlineStr">
        <is>
          <t>ÄLMHULT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46316</v>
      </c>
      <c r="F525" t="inlineStr">
        <is>
          <t>KRONOBERGS LÄN</t>
        </is>
      </c>
      <c r="G525" t="inlineStr">
        <is>
          <t>ÄLMHULT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46316</v>
      </c>
      <c r="F526" t="inlineStr">
        <is>
          <t>KRONOBERGS LÄN</t>
        </is>
      </c>
      <c r="G526" t="inlineStr">
        <is>
          <t>ÄLMHULT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45352</v>
      </c>
      <c r="E527" s="1" t="n">
        <v>46316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18575-2022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44687</v>
      </c>
      <c r="E528" s="1" t="n">
        <v>46316</v>
      </c>
      <c r="F528" t="inlineStr">
        <is>
          <t>KRONOBERGS LÄN</t>
        </is>
      </c>
      <c r="G528" t="inlineStr">
        <is>
          <t>ÄLMHULT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45467</v>
      </c>
      <c r="E529" s="1" t="n">
        <v>46316</v>
      </c>
      <c r="F529" t="inlineStr">
        <is>
          <t>KRONOBERGS LÄN</t>
        </is>
      </c>
      <c r="G529" t="inlineStr">
        <is>
          <t>ÄLMHULT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49565-2023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46316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46155</v>
      </c>
      <c r="E531" s="1" t="n">
        <v>46316</v>
      </c>
      <c r="F531" t="inlineStr">
        <is>
          <t>KRONOBERGS LÄN</t>
        </is>
      </c>
      <c r="G531" t="inlineStr">
        <is>
          <t>ÄLMHULT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46316</v>
      </c>
      <c r="F532" t="inlineStr">
        <is>
          <t>KRONOBERGS LÄN</t>
        </is>
      </c>
      <c r="G532" t="inlineStr">
        <is>
          <t>ÄLMHULT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45450</v>
      </c>
      <c r="E533" s="1" t="n">
        <v>46316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46316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46316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45253</v>
      </c>
      <c r="E536" s="1" t="n">
        <v>46316</v>
      </c>
      <c r="F536" t="inlineStr">
        <is>
          <t>KRONOBERGS LÄN</t>
        </is>
      </c>
      <c r="G536" t="inlineStr">
        <is>
          <t>ÄLMHULT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45051</v>
      </c>
      <c r="E537" s="1" t="n">
        <v>46316</v>
      </c>
      <c r="F537" t="inlineStr">
        <is>
          <t>KRONOBERGS LÄN</t>
        </is>
      </c>
      <c r="G537" t="inlineStr">
        <is>
          <t>ÄLMHULT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46316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46316</v>
      </c>
      <c r="F539" t="inlineStr">
        <is>
          <t>KRONOBERGS LÄN</t>
        </is>
      </c>
      <c r="G539" t="inlineStr">
        <is>
          <t>ÄLMHULT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34664-2026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46257</v>
      </c>
      <c r="E540" s="1" t="n">
        <v>46316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46300</v>
      </c>
      <c r="E541" s="1" t="n">
        <v>46316</v>
      </c>
      <c r="F541" t="inlineStr">
        <is>
          <t>KRONOBERGS LÄN</t>
        </is>
      </c>
      <c r="G541" t="inlineStr">
        <is>
          <t>ÄLMHULT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46316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46316</v>
      </c>
      <c r="F543" t="inlineStr">
        <is>
          <t>KRONOBERGS LÄN</t>
        </is>
      </c>
      <c r="G543" t="inlineStr">
        <is>
          <t>ÄLMHULT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46316</v>
      </c>
      <c r="F544" t="inlineStr">
        <is>
          <t>KRONOBERGS LÄN</t>
        </is>
      </c>
      <c r="G544" t="inlineStr">
        <is>
          <t>ÄLMHULT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53214-2024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45612</v>
      </c>
      <c r="E545" s="1" t="n">
        <v>46316</v>
      </c>
      <c r="F545" t="inlineStr">
        <is>
          <t>KRONOBERGS LÄN</t>
        </is>
      </c>
      <c r="G545" t="inlineStr">
        <is>
          <t>ÄLMHULT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53214-2024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45612</v>
      </c>
      <c r="E546" s="1" t="n">
        <v>46316</v>
      </c>
      <c r="F546" t="inlineStr">
        <is>
          <t>KRONOBERGS LÄN</t>
        </is>
      </c>
      <c r="G546" t="inlineStr">
        <is>
          <t>ÄLMHULT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46316</v>
      </c>
      <c r="F547" t="inlineStr">
        <is>
          <t>KRONOBERGS LÄN</t>
        </is>
      </c>
      <c r="G547" t="inlineStr">
        <is>
          <t>ÄLMHULT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46316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45687</v>
      </c>
      <c r="E549" s="1" t="n">
        <v>46316</v>
      </c>
      <c r="F549" t="inlineStr">
        <is>
          <t>KRONOBERGS LÄN</t>
        </is>
      </c>
      <c r="G549" t="inlineStr">
        <is>
          <t>ÄLMHULT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48282-2022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44858</v>
      </c>
      <c r="E550" s="1" t="n">
        <v>46316</v>
      </c>
      <c r="F550" t="inlineStr">
        <is>
          <t>KRONOBERGS LÄN</t>
        </is>
      </c>
      <c r="G550" t="inlineStr">
        <is>
          <t>ÄLMHULT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37064-2024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46316</v>
      </c>
      <c r="F551" t="inlineStr">
        <is>
          <t>KRONOBERGS LÄN</t>
        </is>
      </c>
      <c r="G551" t="inlineStr">
        <is>
          <t>ÄLMHULT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41816-2026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46303</v>
      </c>
      <c r="E552" s="1" t="n">
        <v>46316</v>
      </c>
      <c r="F552" t="inlineStr">
        <is>
          <t>KRONOBERGS LÄN</t>
        </is>
      </c>
      <c r="G552" t="inlineStr">
        <is>
          <t>ÄLMHULT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46302</v>
      </c>
      <c r="E553" s="1" t="n">
        <v>46316</v>
      </c>
      <c r="F553" t="inlineStr">
        <is>
          <t>KRONOBERGS LÄN</t>
        </is>
      </c>
      <c r="G553" t="inlineStr">
        <is>
          <t>ÄLMHULT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52332-2024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45609</v>
      </c>
      <c r="E554" s="1" t="n">
        <v>46316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69444-2021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44531</v>
      </c>
      <c r="E555" s="1" t="n">
        <v>46316</v>
      </c>
      <c r="F555" t="inlineStr">
        <is>
          <t>KRONOBERGS LÄN</t>
        </is>
      </c>
      <c r="G555" t="inlineStr">
        <is>
          <t>ÄLMHULT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46303</v>
      </c>
      <c r="E556" s="1" t="n">
        <v>46316</v>
      </c>
      <c r="F556" t="inlineStr">
        <is>
          <t>KRONOBERGS LÄN</t>
        </is>
      </c>
      <c r="G556" t="inlineStr">
        <is>
          <t>ÄLMHULT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19295-2023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45049</v>
      </c>
      <c r="E557" s="1" t="n">
        <v>46316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45679</v>
      </c>
      <c r="E558" s="1" t="n">
        <v>46316</v>
      </c>
      <c r="F558" t="inlineStr">
        <is>
          <t>KRONOBERGS LÄN</t>
        </is>
      </c>
      <c r="G558" t="inlineStr">
        <is>
          <t>ÄLMHULT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48559-2022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44859</v>
      </c>
      <c r="E559" s="1" t="n">
        <v>46316</v>
      </c>
      <c r="F559" t="inlineStr">
        <is>
          <t>KRONOBERGS LÄN</t>
        </is>
      </c>
      <c r="G559" t="inlineStr">
        <is>
          <t>ÄLMHULT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69454-2021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46316</v>
      </c>
      <c r="F560" t="inlineStr">
        <is>
          <t>KRONOBERGS LÄN</t>
        </is>
      </c>
      <c r="G560" t="inlineStr">
        <is>
          <t>ÄLMHULT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46262</v>
      </c>
      <c r="E561" s="1" t="n">
        <v>46316</v>
      </c>
      <c r="F561" t="inlineStr">
        <is>
          <t>KRONOBERGS LÄN</t>
        </is>
      </c>
      <c r="G561" t="inlineStr">
        <is>
          <t>ÄLMHULT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42355-2026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46307</v>
      </c>
      <c r="E562" s="1" t="n">
        <v>46316</v>
      </c>
      <c r="F562" t="inlineStr">
        <is>
          <t>KRONOBERGS LÄN</t>
        </is>
      </c>
      <c r="G562" t="inlineStr">
        <is>
          <t>ÄLMHULT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22415-2024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45446</v>
      </c>
      <c r="E563" s="1" t="n">
        <v>46316</v>
      </c>
      <c r="F563" t="inlineStr">
        <is>
          <t>KRONOBERGS LÄN</t>
        </is>
      </c>
      <c r="G563" t="inlineStr">
        <is>
          <t>ÄLMHULT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45616</v>
      </c>
      <c r="E564" s="1" t="n">
        <v>46316</v>
      </c>
      <c r="F564" t="inlineStr">
        <is>
          <t>KRONOBERGS LÄN</t>
        </is>
      </c>
      <c r="G564" t="inlineStr">
        <is>
          <t>ÄLMHULT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42358-2026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46307</v>
      </c>
      <c r="E565" s="1" t="n">
        <v>46316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46307</v>
      </c>
      <c r="E566" s="1" t="n">
        <v>46316</v>
      </c>
      <c r="F566" t="inlineStr">
        <is>
          <t>KRONOBERGS LÄN</t>
        </is>
      </c>
      <c r="G566" t="inlineStr">
        <is>
          <t>ÄLMHULT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46307</v>
      </c>
      <c r="E567" s="1" t="n">
        <v>46316</v>
      </c>
      <c r="F567" t="inlineStr">
        <is>
          <t>KRONOBERGS LÄN</t>
        </is>
      </c>
      <c r="G567" t="inlineStr">
        <is>
          <t>ÄLMHULT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46316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44587</v>
      </c>
      <c r="E569" s="1" t="n">
        <v>46316</v>
      </c>
      <c r="F569" t="inlineStr">
        <is>
          <t>KRONOBERGS LÄN</t>
        </is>
      </c>
      <c r="G569" t="inlineStr">
        <is>
          <t>ÄLMHULT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45770</v>
      </c>
      <c r="E570" s="1" t="n">
        <v>46316</v>
      </c>
      <c r="F570" t="inlineStr">
        <is>
          <t>KRONOBERGS LÄN</t>
        </is>
      </c>
      <c r="G570" t="inlineStr">
        <is>
          <t>ÄLMHULT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44582</v>
      </c>
      <c r="E571" s="1" t="n">
        <v>46316</v>
      </c>
      <c r="F571" t="inlineStr">
        <is>
          <t>KRONOBERGS LÄN</t>
        </is>
      </c>
      <c r="G571" t="inlineStr">
        <is>
          <t>ÄLMHULT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45759</v>
      </c>
      <c r="E572" s="1" t="n">
        <v>46316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46316</v>
      </c>
      <c r="F573" t="inlineStr">
        <is>
          <t>KRONOBERGS LÄN</t>
        </is>
      </c>
      <c r="G573" t="inlineStr">
        <is>
          <t>ÄLMHULT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59114-2022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44897</v>
      </c>
      <c r="E574" s="1" t="n">
        <v>46316</v>
      </c>
      <c r="F574" t="inlineStr">
        <is>
          <t>KRONOBERGS LÄN</t>
        </is>
      </c>
      <c r="G574" t="inlineStr">
        <is>
          <t>ÄLMHULT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46740-2024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45583</v>
      </c>
      <c r="E575" s="1" t="n">
        <v>46316</v>
      </c>
      <c r="F575" t="inlineStr">
        <is>
          <t>KRONOBERGS LÄN</t>
        </is>
      </c>
      <c r="G575" t="inlineStr">
        <is>
          <t>ÄLMHULT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49041-2024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45594</v>
      </c>
      <c r="E576" s="1" t="n">
        <v>46316</v>
      </c>
      <c r="F576" t="inlineStr">
        <is>
          <t>KRONOBERGS LÄN</t>
        </is>
      </c>
      <c r="G576" t="inlineStr">
        <is>
          <t>ÄLMHULT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46316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45469</v>
      </c>
      <c r="E578" s="1" t="n">
        <v>46316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15568-2024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45401</v>
      </c>
      <c r="E579" s="1" t="n">
        <v>46316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46316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26454-2023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45092</v>
      </c>
      <c r="E581" s="1" t="n">
        <v>46316</v>
      </c>
      <c r="F581" t="inlineStr">
        <is>
          <t>KRONOBERGS LÄN</t>
        </is>
      </c>
      <c r="G581" t="inlineStr">
        <is>
          <t>ÄLMHULT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46316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46316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30370-2022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44760</v>
      </c>
      <c r="E584" s="1" t="n">
        <v>46316</v>
      </c>
      <c r="F584" t="inlineStr">
        <is>
          <t>KRONOBERGS LÄN</t>
        </is>
      </c>
      <c r="G584" t="inlineStr">
        <is>
          <t>ÄLMHULT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68189-2021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44526</v>
      </c>
      <c r="E585" s="1" t="n">
        <v>46316</v>
      </c>
      <c r="F585" t="inlineStr">
        <is>
          <t>KRONOBERGS LÄN</t>
        </is>
      </c>
      <c r="G585" t="inlineStr">
        <is>
          <t>ÄLMHULT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62481-2023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46316</v>
      </c>
      <c r="F586" t="inlineStr">
        <is>
          <t>KRONOBERGS LÄN</t>
        </is>
      </c>
      <c r="G586" t="inlineStr">
        <is>
          <t>ÄLMHULT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43194-2026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46313</v>
      </c>
      <c r="E587" s="1" t="n">
        <v>46316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46314</v>
      </c>
      <c r="E588" s="1" t="n">
        <v>46316</v>
      </c>
      <c r="F588" t="inlineStr">
        <is>
          <t>KRONOBERGS LÄN</t>
        </is>
      </c>
      <c r="G588" t="inlineStr">
        <is>
          <t>ÄLMHULT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43322-2026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46314</v>
      </c>
      <c r="E589" s="1" t="n">
        <v>46316</v>
      </c>
      <c r="F589" t="inlineStr">
        <is>
          <t>KRONOBERGS LÄN</t>
        </is>
      </c>
      <c r="G589" t="inlineStr">
        <is>
          <t>ÄLMHULT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46316</v>
      </c>
      <c r="F590" t="inlineStr">
        <is>
          <t>KRONOBERGS LÄN</t>
        </is>
      </c>
      <c r="G590" t="inlineStr">
        <is>
          <t>ÄLMHULT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56846-2023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45244</v>
      </c>
      <c r="E591" s="1" t="n">
        <v>46316</v>
      </c>
      <c r="F591" t="inlineStr">
        <is>
          <t>KRONOBERGS LÄN</t>
        </is>
      </c>
      <c r="G591" t="inlineStr">
        <is>
          <t>ÄLMHULT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45051</v>
      </c>
      <c r="E592" s="1" t="n">
        <v>46316</v>
      </c>
      <c r="F592" t="inlineStr">
        <is>
          <t>KRONOBERGS LÄN</t>
        </is>
      </c>
      <c r="G592" t="inlineStr">
        <is>
          <t>ÄLMHULT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45176</v>
      </c>
      <c r="E593" s="1" t="n">
        <v>46316</v>
      </c>
      <c r="F593" t="inlineStr">
        <is>
          <t>KRONOBERGS LÄN</t>
        </is>
      </c>
      <c r="G593" t="inlineStr">
        <is>
          <t>ÄLMHULT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46316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44928</v>
      </c>
      <c r="E595" s="1" t="n">
        <v>46316</v>
      </c>
      <c r="F595" t="inlineStr">
        <is>
          <t>KRONOBERGS LÄN</t>
        </is>
      </c>
      <c r="G595" t="inlineStr">
        <is>
          <t>ÄLMHULT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44568</v>
      </c>
      <c r="E596" s="1" t="n">
        <v>46316</v>
      </c>
      <c r="F596" t="inlineStr">
        <is>
          <t>KRONOBERGS LÄN</t>
        </is>
      </c>
      <c r="G596" t="inlineStr">
        <is>
          <t>ÄLMHULT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11782-2022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44634</v>
      </c>
      <c r="E597" s="1" t="n">
        <v>46316</v>
      </c>
      <c r="F597" t="inlineStr">
        <is>
          <t>KRONOBERGS LÄN</t>
        </is>
      </c>
      <c r="G597" t="inlineStr">
        <is>
          <t>ÄLMHULT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4747-2022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44592</v>
      </c>
      <c r="E598" s="1" t="n">
        <v>46316</v>
      </c>
      <c r="F598" t="inlineStr">
        <is>
          <t>KRONOBERGS LÄN</t>
        </is>
      </c>
      <c r="G598" t="inlineStr">
        <is>
          <t>ÄLMHULT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31872-2022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44777</v>
      </c>
      <c r="E599" s="1" t="n">
        <v>46316</v>
      </c>
      <c r="F599" t="inlineStr">
        <is>
          <t>KRONOBERGS LÄN</t>
        </is>
      </c>
      <c r="G599" t="inlineStr">
        <is>
          <t>ÄLMHULT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46316</v>
      </c>
      <c r="F600" t="inlineStr">
        <is>
          <t>KRONOBERGS LÄN</t>
        </is>
      </c>
      <c r="G600" t="inlineStr">
        <is>
          <t>ÄLMHULT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44942</v>
      </c>
      <c r="E601" s="1" t="n">
        <v>46316</v>
      </c>
      <c r="F601" t="inlineStr">
        <is>
          <t>KRONOBERGS LÄN</t>
        </is>
      </c>
      <c r="G601" t="inlineStr">
        <is>
          <t>ÄLMHULT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45273</v>
      </c>
      <c r="E602" s="1" t="n">
        <v>46316</v>
      </c>
      <c r="F602" t="inlineStr">
        <is>
          <t>KRONOBERGS LÄN</t>
        </is>
      </c>
      <c r="G602" t="inlineStr">
        <is>
          <t>ÄLMHULT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30852-2024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45497</v>
      </c>
      <c r="E603" s="1" t="n">
        <v>46316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50540-2023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45217</v>
      </c>
      <c r="E604" s="1" t="n">
        <v>46316</v>
      </c>
      <c r="F604" t="inlineStr">
        <is>
          <t>KRONOBERGS LÄN</t>
        </is>
      </c>
      <c r="G604" t="inlineStr">
        <is>
          <t>ÄLMHULT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10087-2022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44621</v>
      </c>
      <c r="E605" s="1" t="n">
        <v>46316</v>
      </c>
      <c r="F605" t="inlineStr">
        <is>
          <t>KRONOBERGS LÄN</t>
        </is>
      </c>
      <c r="G605" t="inlineStr">
        <is>
          <t>ÄLMHULT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62172-2022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44922</v>
      </c>
      <c r="E606" s="1" t="n">
        <v>46316</v>
      </c>
      <c r="F606" t="inlineStr">
        <is>
          <t>KRONOBERGS LÄN</t>
        </is>
      </c>
      <c r="G606" t="inlineStr">
        <is>
          <t>ÄLMHULT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40123-2023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45169</v>
      </c>
      <c r="E607" s="1" t="n">
        <v>46316</v>
      </c>
      <c r="F607" t="inlineStr">
        <is>
          <t>KRONOBERGS LÄN</t>
        </is>
      </c>
      <c r="G607" t="inlineStr">
        <is>
          <t>ÄLMHULT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44860</v>
      </c>
      <c r="E608" s="1" t="n">
        <v>46316</v>
      </c>
      <c r="F608" t="inlineStr">
        <is>
          <t>KRONOBERGS LÄN</t>
        </is>
      </c>
      <c r="G608" t="inlineStr">
        <is>
          <t>ÄLMHULT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45154</v>
      </c>
      <c r="E609" s="1" t="n">
        <v>46316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12112-2022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44636</v>
      </c>
      <c r="E610" s="1" t="n">
        <v>46316</v>
      </c>
      <c r="F610" t="inlineStr">
        <is>
          <t>KRONOBERGS LÄN</t>
        </is>
      </c>
      <c r="G610" t="inlineStr">
        <is>
          <t>ÄLMHULT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68552-2021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44529</v>
      </c>
      <c r="E611" s="1" t="n">
        <v>46316</v>
      </c>
      <c r="F611" t="inlineStr">
        <is>
          <t>KRONOBERGS LÄN</t>
        </is>
      </c>
      <c r="G611" t="inlineStr">
        <is>
          <t>ÄLMHULT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63569-2021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44508</v>
      </c>
      <c r="E612" s="1" t="n">
        <v>46316</v>
      </c>
      <c r="F612" t="inlineStr">
        <is>
          <t>KRONOBERGS LÄN</t>
        </is>
      </c>
      <c r="G612" t="inlineStr">
        <is>
          <t>ÄLMHULT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48331-2022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44858</v>
      </c>
      <c r="E613" s="1" t="n">
        <v>46316</v>
      </c>
      <c r="F613" t="inlineStr">
        <is>
          <t>KRONOBERGS LÄN</t>
        </is>
      </c>
      <c r="G613" t="inlineStr">
        <is>
          <t>ÄLMHULT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45776</v>
      </c>
      <c r="E614" s="1" t="n">
        <v>46316</v>
      </c>
      <c r="F614" t="inlineStr">
        <is>
          <t>KRONOBERGS LÄN</t>
        </is>
      </c>
      <c r="G614" t="inlineStr">
        <is>
          <t>ÄLMHULT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45663</v>
      </c>
      <c r="E615" s="1" t="n">
        <v>46316</v>
      </c>
      <c r="F615" t="inlineStr">
        <is>
          <t>KRONOBERGS LÄN</t>
        </is>
      </c>
      <c r="G615" t="inlineStr">
        <is>
          <t>ÄLMHULT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56266-2024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45624</v>
      </c>
      <c r="E616" s="1" t="n">
        <v>46316</v>
      </c>
      <c r="F616" t="inlineStr">
        <is>
          <t>KRONOBERGS LÄN</t>
        </is>
      </c>
      <c r="G616" t="inlineStr">
        <is>
          <t>ÄLMHULT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45781</v>
      </c>
      <c r="E617" s="1" t="n">
        <v>46316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16320-2024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45407</v>
      </c>
      <c r="E618" s="1" t="n">
        <v>46316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46316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46316</v>
      </c>
      <c r="F620" t="inlineStr">
        <is>
          <t>KRONOBERGS LÄN</t>
        </is>
      </c>
      <c r="G620" t="inlineStr">
        <is>
          <t>ÄLMHULT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46316</v>
      </c>
      <c r="F621" t="inlineStr">
        <is>
          <t>KRONOBERGS LÄN</t>
        </is>
      </c>
      <c r="G621" t="inlineStr">
        <is>
          <t>ÄLMHULT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1420-2022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44634</v>
      </c>
      <c r="E622" s="1" t="n">
        <v>46316</v>
      </c>
      <c r="F622" t="inlineStr">
        <is>
          <t>KRONOBERGS LÄN</t>
        </is>
      </c>
      <c r="G622" t="inlineStr">
        <is>
          <t>ÄLMHULT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1835-2022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44658</v>
      </c>
      <c r="E623" s="1" t="n">
        <v>46316</v>
      </c>
      <c r="F623" t="inlineStr">
        <is>
          <t>KRONOBERGS LÄN</t>
        </is>
      </c>
      <c r="G623" t="inlineStr">
        <is>
          <t>ÄLMHULT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1203-2022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44621</v>
      </c>
      <c r="E624" s="1" t="n">
        <v>46316</v>
      </c>
      <c r="F624" t="inlineStr">
        <is>
          <t>KRONOBERGS LÄN</t>
        </is>
      </c>
      <c r="G624" t="inlineStr">
        <is>
          <t>ÄLMHULT</t>
        </is>
      </c>
      <c r="I624" t="n">
        <v>44.9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46316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46316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46316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46316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46316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46316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46316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46316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46316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46316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46316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46316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46316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46316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46316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2026-10-21T02:00:50Z</dcterms:created>
  <dcterms:modified xmlns:dcterms="http://purl.org/dc/terms/" xmlns:xsi="http://www.w3.org/2001/XMLSchema-instance" xsi:type="dcterms:W3CDTF">2026-10-21T02:00:50Z</dcterms:modified>
</cp:coreProperties>
</file>