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46221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s="2" t="inlineStr">
        <is>
          <t>Sexfläckig bastardsvärmare
Silverblåvinge</t>
        </is>
      </c>
      <c r="V9">
        <f>HYPERLINK("https://klasma.github.io/Logging_0765/artfynd/A 54633-2022 artfynd.xlsx", "A 54633-2022")</f>
        <v/>
      </c>
      <c r="W9">
        <f>HYPERLINK("https://klasma.github.io/Logging_0765/kartor/A 54633-2022 karta.png", "A 54633-2022")</f>
        <v/>
      </c>
      <c r="Y9">
        <f>HYPERLINK("https://klasma.github.io/Logging_0765/klagomål/A 54633-2022 FSC-klagomål.docx", "A 54633-2022")</f>
        <v/>
      </c>
      <c r="Z9">
        <f>HYPERLINK("https://klasma.github.io/Logging_0765/klagomålsmail/A 54633-2022 FSC-klagomål mail.docx", "A 54633-2022")</f>
        <v/>
      </c>
      <c r="AA9">
        <f>HYPERLINK("https://klasma.github.io/Logging_0765/tillsyn/A 54633-2022 tillsynsbegäran.docx", "A 54633-2022")</f>
        <v/>
      </c>
      <c r="AB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46221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Vedtrappmossa
Blåsfliksmossa</t>
        </is>
      </c>
      <c r="V10">
        <f>HYPERLINK("https://klasma.github.io/Logging_0765/artfynd/A 43196-2023 artfynd.xlsx", "A 43196-2023")</f>
        <v/>
      </c>
      <c r="W10">
        <f>HYPERLINK("https://klasma.github.io/Logging_0765/kartor/A 43196-2023 karta.png", "A 43196-2023")</f>
        <v/>
      </c>
      <c r="Y10">
        <f>HYPERLINK("https://klasma.github.io/Logging_0765/klagomål/A 43196-2023 FSC-klagomål.docx", "A 43196-2023")</f>
        <v/>
      </c>
      <c r="Z10">
        <f>HYPERLINK("https://klasma.github.io/Logging_0765/klagomålsmail/A 43196-2023 FSC-klagomål mail.docx", "A 43196-2023")</f>
        <v/>
      </c>
      <c r="AA10">
        <f>HYPERLINK("https://klasma.github.io/Logging_0765/tillsyn/A 43196-2023 tillsynsbegäran.docx", "A 43196-2023")</f>
        <v/>
      </c>
      <c r="AB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46221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Mattlummer
Lopplummer (aggregat)</t>
        </is>
      </c>
      <c r="V11">
        <f>HYPERLINK("https://klasma.github.io/Logging_0765/artfynd/A 28325-2025 artfynd.xlsx", "A 28325-2025")</f>
        <v/>
      </c>
      <c r="W11">
        <f>HYPERLINK("https://klasma.github.io/Logging_0765/kartor/A 28325-2025 karta.png", "A 28325-2025")</f>
        <v/>
      </c>
      <c r="Y11">
        <f>HYPERLINK("https://klasma.github.io/Logging_0765/klagomål/A 28325-2025 FSC-klagomål.docx", "A 28325-2025")</f>
        <v/>
      </c>
      <c r="Z11">
        <f>HYPERLINK("https://klasma.github.io/Logging_0765/klagomålsmail/A 28325-2025 FSC-klagomål mail.docx", "A 28325-2025")</f>
        <v/>
      </c>
      <c r="AA11">
        <f>HYPERLINK("https://klasma.github.io/Logging_0765/tillsyn/A 28325-2025 tillsynsbegäran.docx", "A 28325-2025")</f>
        <v/>
      </c>
      <c r="AB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46221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Gulsparv
Trädlärka</t>
        </is>
      </c>
      <c r="V12">
        <f>HYPERLINK("https://klasma.github.io/Logging_0765/artfynd/A 55971-2022 artfynd.xlsx", "A 55971-2022")</f>
        <v/>
      </c>
      <c r="W12">
        <f>HYPERLINK("https://klasma.github.io/Logging_0765/kartor/A 55971-2022 karta.png", "A 55971-2022")</f>
        <v/>
      </c>
      <c r="Y12">
        <f>HYPERLINK("https://klasma.github.io/Logging_0765/klagomål/A 55971-2022 FSC-klagomål.docx", "A 55971-2022")</f>
        <v/>
      </c>
      <c r="Z12">
        <f>HYPERLINK("https://klasma.github.io/Logging_0765/klagomålsmail/A 55971-2022 FSC-klagomål mail.docx", "A 55971-2022")</f>
        <v/>
      </c>
      <c r="AA12">
        <f>HYPERLINK("https://klasma.github.io/Logging_0765/tillsyn/A 55971-2022 tillsynsbegäran.docx", "A 55971-2022")</f>
        <v/>
      </c>
      <c r="AB12">
        <f>HYPERLINK("https://klasma.github.io/Logging_0765/tillsynsmail/A 55971-2022 tillsynsbegäran mail.docx", "A 55971-2022")</f>
        <v/>
      </c>
      <c r="AC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46221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46221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Gulnål
Ärtsångare</t>
        </is>
      </c>
      <c r="V14">
        <f>HYPERLINK("https://klasma.github.io/Logging_0765/artfynd/A 14429-2023 artfynd.xlsx", "A 14429-2023")</f>
        <v/>
      </c>
      <c r="W14">
        <f>HYPERLINK("https://klasma.github.io/Logging_0765/kartor/A 14429-2023 karta.png", "A 14429-2023")</f>
        <v/>
      </c>
      <c r="Y14">
        <f>HYPERLINK("https://klasma.github.io/Logging_0765/klagomål/A 14429-2023 FSC-klagomål.docx", "A 14429-2023")</f>
        <v/>
      </c>
      <c r="Z14">
        <f>HYPERLINK("https://klasma.github.io/Logging_0765/klagomålsmail/A 14429-2023 FSC-klagomål mail.docx", "A 14429-2023")</f>
        <v/>
      </c>
      <c r="AA14">
        <f>HYPERLINK("https://klasma.github.io/Logging_0765/tillsyn/A 14429-2023 tillsynsbegäran.docx", "A 14429-2023")</f>
        <v/>
      </c>
      <c r="AB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46221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Y15">
        <f>HYPERLINK("https://klasma.github.io/Logging_0765/klagomål/A 25207-2026 FSC-klagomål.docx", "A 25207-2026")</f>
        <v/>
      </c>
      <c r="Z15">
        <f>HYPERLINK("https://klasma.github.io/Logging_0765/klagomålsmail/A 25207-2026 FSC-klagomål mail.docx", "A 25207-2026")</f>
        <v/>
      </c>
      <c r="AA15">
        <f>HYPERLINK("https://klasma.github.io/Logging_0765/tillsyn/A 25207-2026 tillsynsbegäran.docx", "A 25207-2026")</f>
        <v/>
      </c>
      <c r="AB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46221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46221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46221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46221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Tofsvipa</t>
        </is>
      </c>
      <c r="V20">
        <f>HYPERLINK("https://klasma.github.io/Logging_0765/artfynd/A 13196-2024 artfynd.xlsx", "A 13196-2024")</f>
        <v/>
      </c>
      <c r="W20">
        <f>HYPERLINK("https://klasma.github.io/Logging_0765/kartor/A 13196-2024 karta.png", "A 13196-2024")</f>
        <v/>
      </c>
      <c r="Y20">
        <f>HYPERLINK("https://klasma.github.io/Logging_0765/klagomål/A 13196-2024 FSC-klagomål.docx", "A 13196-2024")</f>
        <v/>
      </c>
      <c r="Z20">
        <f>HYPERLINK("https://klasma.github.io/Logging_0765/klagomålsmail/A 13196-2024 FSC-klagomål mail.docx", "A 13196-2024")</f>
        <v/>
      </c>
      <c r="AA20">
        <f>HYPERLINK("https://klasma.github.io/Logging_0765/tillsyn/A 13196-2024 tillsynsbegäran.docx", "A 13196-2024")</f>
        <v/>
      </c>
      <c r="AB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46221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46221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HYPERLINK("https://klasma.github.io/Logging_0765/artfynd/A 41717-2024 artfynd.xlsx", "A 41717-2024")</f>
        <v/>
      </c>
      <c r="W22">
        <f>HYPERLINK("https://klasma.github.io/Logging_0765/kartor/A 41717-2024 karta.png", "A 41717-2024")</f>
        <v/>
      </c>
      <c r="Y22">
        <f>HYPERLINK("https://klasma.github.io/Logging_0765/klagomål/A 41717-2024 FSC-klagomål.docx", "A 41717-2024")</f>
        <v/>
      </c>
      <c r="Z22">
        <f>HYPERLINK("https://klasma.github.io/Logging_0765/klagomålsmail/A 41717-2024 FSC-klagomål mail.docx", "A 41717-2024")</f>
        <v/>
      </c>
      <c r="AA22">
        <f>HYPERLINK("https://klasma.github.io/Logging_0765/tillsyn/A 41717-2024 tillsynsbegäran.docx", "A 41717-2024")</f>
        <v/>
      </c>
      <c r="AB22">
        <f>HYPERLINK("https://klasma.github.io/Logging_0765/tillsynsmail/A 41717-2024 tillsynsbegäran mail.docx", "A 41717-2024")</f>
        <v/>
      </c>
      <c r="AC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46221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Borsttåg</t>
        </is>
      </c>
      <c r="V23">
        <f>HYPERLINK("https://klasma.github.io/Logging_0765/artfynd/A 18747-2025 artfynd.xlsx", "A 18747-2025")</f>
        <v/>
      </c>
      <c r="W23">
        <f>HYPERLINK("https://klasma.github.io/Logging_0765/kartor/A 18747-2025 karta.png", "A 18747-2025")</f>
        <v/>
      </c>
      <c r="Y23">
        <f>HYPERLINK("https://klasma.github.io/Logging_0765/klagomål/A 18747-2025 FSC-klagomål.docx", "A 18747-2025")</f>
        <v/>
      </c>
      <c r="Z23">
        <f>HYPERLINK("https://klasma.github.io/Logging_0765/klagomålsmail/A 18747-2025 FSC-klagomål mail.docx", "A 18747-2025")</f>
        <v/>
      </c>
      <c r="AA23">
        <f>HYPERLINK("https://klasma.github.io/Logging_0765/tillsyn/A 18747-2025 tillsynsbegäran.docx", "A 18747-2025")</f>
        <v/>
      </c>
      <c r="AB23">
        <f>HYPERLINK("https://klasma.github.io/Logging_0765/tillsynsmail/A 18747-2025 tillsynsbegäran mail.docx", "A 18747-2025")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46221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Sparvuggla</t>
        </is>
      </c>
      <c r="V24">
        <f>HYPERLINK("https://klasma.github.io/Logging_0765/artfynd/A 48196-2025 artfynd.xlsx", "A 48196-2025")</f>
        <v/>
      </c>
      <c r="W24">
        <f>HYPERLINK("https://klasma.github.io/Logging_0765/kartor/A 48196-2025 karta.png", "A 48196-2025")</f>
        <v/>
      </c>
      <c r="Y24">
        <f>HYPERLINK("https://klasma.github.io/Logging_0765/klagomål/A 48196-2025 FSC-klagomål.docx", "A 48196-2025")</f>
        <v/>
      </c>
      <c r="Z24">
        <f>HYPERLINK("https://klasma.github.io/Logging_0765/klagomålsmail/A 48196-2025 FSC-klagomål mail.docx", "A 48196-2025")</f>
        <v/>
      </c>
      <c r="AA24">
        <f>HYPERLINK("https://klasma.github.io/Logging_0765/tillsyn/A 48196-2025 tillsynsbegäran.docx", "A 48196-2025")</f>
        <v/>
      </c>
      <c r="AB24">
        <f>HYPERLINK("https://klasma.github.io/Logging_0765/tillsynsmail/A 48196-2025 tillsynsbegäran mail.docx", "A 48196-2025")</f>
        <v/>
      </c>
      <c r="AC24">
        <f>HYPERLINK("https://klasma.github.io/Logging_0765/fåglar/A 48196-2025 prioriterade fågelarter.docx", "A 48196-2025")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46221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Sparvuggla</t>
        </is>
      </c>
      <c r="V25">
        <f>HYPERLINK("https://klasma.github.io/Logging_0765/artfynd/A 35531-2025 artfynd.xlsx", "A 35531-2025")</f>
        <v/>
      </c>
      <c r="W25">
        <f>HYPERLINK("https://klasma.github.io/Logging_0765/kartor/A 35531-2025 karta.png", "A 35531-2025")</f>
        <v/>
      </c>
      <c r="Y25">
        <f>HYPERLINK("https://klasma.github.io/Logging_0765/klagomål/A 35531-2025 FSC-klagomål.docx", "A 35531-2025")</f>
        <v/>
      </c>
      <c r="Z25">
        <f>HYPERLINK("https://klasma.github.io/Logging_0765/klagomålsmail/A 35531-2025 FSC-klagomål mail.docx", "A 35531-2025")</f>
        <v/>
      </c>
      <c r="AA25">
        <f>HYPERLINK("https://klasma.github.io/Logging_0765/tillsyn/A 35531-2025 tillsynsbegäran.docx", "A 35531-2025")</f>
        <v/>
      </c>
      <c r="AB25">
        <f>HYPERLINK("https://klasma.github.io/Logging_0765/tillsynsmail/A 35531-2025 tillsynsbegäran mail.docx", "A 35531-2025")</f>
        <v/>
      </c>
      <c r="AC25">
        <f>HYPERLINK("https://klasma.github.io/Logging_0765/fåglar/A 35531-2025 prioriterade fågelarter.docx", "A 35531-2025")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46221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Solvända</t>
        </is>
      </c>
      <c r="V26">
        <f>HYPERLINK("https://klasma.github.io/Logging_0765/artfynd/A 58048-2024 artfynd.xlsx", "A 58048-2024")</f>
        <v/>
      </c>
      <c r="W26">
        <f>HYPERLINK("https://klasma.github.io/Logging_0765/kartor/A 58048-2024 karta.png", "A 58048-2024")</f>
        <v/>
      </c>
      <c r="Y26">
        <f>HYPERLINK("https://klasma.github.io/Logging_0765/klagomål/A 58048-2024 FSC-klagomål.docx", "A 58048-2024")</f>
        <v/>
      </c>
      <c r="Z26">
        <f>HYPERLINK("https://klasma.github.io/Logging_0765/klagomålsmail/A 58048-2024 FSC-klagomål mail.docx", "A 58048-2024")</f>
        <v/>
      </c>
      <c r="AA26">
        <f>HYPERLINK("https://klasma.github.io/Logging_0765/tillsyn/A 58048-2024 tillsynsbegäran.docx", "A 58048-2024")</f>
        <v/>
      </c>
      <c r="AB26">
        <f>HYPERLINK("https://klasma.github.io/Logging_0765/tillsynsmail/A 58048-2024 tillsynsbegäran mail.docx", "A 58048-2024")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46221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Slåtterfibbla</t>
        </is>
      </c>
      <c r="V27">
        <f>HYPERLINK("https://klasma.github.io/Logging_0765/artfynd/A 18943-2026 artfynd.xlsx", "A 18943-2026")</f>
        <v/>
      </c>
      <c r="W27">
        <f>HYPERLINK("https://klasma.github.io/Logging_0765/kartor/A 18943-2026 karta.png", "A 18943-2026")</f>
        <v/>
      </c>
      <c r="Y27">
        <f>HYPERLINK("https://klasma.github.io/Logging_0765/klagomål/A 18943-2026 FSC-klagomål.docx", "A 18943-2026")</f>
        <v/>
      </c>
      <c r="Z27">
        <f>HYPERLINK("https://klasma.github.io/Logging_0765/klagomålsmail/A 18943-2026 FSC-klagomål mail.docx", "A 18943-2026")</f>
        <v/>
      </c>
      <c r="AA27">
        <f>HYPERLINK("https://klasma.github.io/Logging_0765/tillsyn/A 18943-2026 tillsynsbegäran.docx", "A 18943-2026")</f>
        <v/>
      </c>
      <c r="AB27">
        <f>HYPERLINK("https://klasma.github.io/Logging_0765/tillsynsmail/A 18943-2026 tillsynsbegäran mail.docx", "A 18943-2026")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46221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HYPERLINK("https://klasma.github.io/Logging_0765/artfynd/A 50892-2023 artfynd.xlsx", "A 50892-2023")</f>
        <v/>
      </c>
      <c r="W28">
        <f>HYPERLINK("https://klasma.github.io/Logging_0765/kartor/A 50892-2023 karta.png", "A 50892-2023")</f>
        <v/>
      </c>
      <c r="Y28">
        <f>HYPERLINK("https://klasma.github.io/Logging_0765/klagomål/A 50892-2023 FSC-klagomål.docx", "A 50892-2023")</f>
        <v/>
      </c>
      <c r="Z28">
        <f>HYPERLINK("https://klasma.github.io/Logging_0765/klagomålsmail/A 50892-2023 FSC-klagomål mail.docx", "A 50892-2023")</f>
        <v/>
      </c>
      <c r="AA28">
        <f>HYPERLINK("https://klasma.github.io/Logging_0765/tillsyn/A 50892-2023 tillsynsbegäran.docx", "A 50892-2023")</f>
        <v/>
      </c>
      <c r="AB28">
        <f>HYPERLINK("https://klasma.github.io/Logging_0765/tillsynsmail/A 50892-2023 tillsynsbegäran mail.docx", "A 50892-2023")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46221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HYPERLINK("https://klasma.github.io/Logging_0765/artfynd/A 19196-2025 artfynd.xlsx", "A 19196-2025")</f>
        <v/>
      </c>
      <c r="W29">
        <f>HYPERLINK("https://klasma.github.io/Logging_0765/kartor/A 19196-2025 karta.png", "A 19196-2025")</f>
        <v/>
      </c>
      <c r="Y29">
        <f>HYPERLINK("https://klasma.github.io/Logging_0765/klagomål/A 19196-2025 FSC-klagomål.docx", "A 19196-2025")</f>
        <v/>
      </c>
      <c r="Z29">
        <f>HYPERLINK("https://klasma.github.io/Logging_0765/klagomålsmail/A 19196-2025 FSC-klagomål mail.docx", "A 19196-2025")</f>
        <v/>
      </c>
      <c r="AA29">
        <f>HYPERLINK("https://klasma.github.io/Logging_0765/tillsyn/A 19196-2025 tillsynsbegäran.docx", "A 19196-2025")</f>
        <v/>
      </c>
      <c r="AB29">
        <f>HYPERLINK("https://klasma.github.io/Logging_0765/tillsynsmail/A 19196-2025 tillsynsbegäran mail.docx", "A 19196-2025")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46221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Grönpyrola</t>
        </is>
      </c>
      <c r="V30">
        <f>HYPERLINK("https://klasma.github.io/Logging_0765/artfynd/A 54470-2022 artfynd.xlsx", "A 54470-2022")</f>
        <v/>
      </c>
      <c r="W30">
        <f>HYPERLINK("https://klasma.github.io/Logging_0765/kartor/A 54470-2022 karta.png", "A 54470-2022")</f>
        <v/>
      </c>
      <c r="Y30">
        <f>HYPERLINK("https://klasma.github.io/Logging_0765/klagomål/A 54470-2022 FSC-klagomål.docx", "A 54470-2022")</f>
        <v/>
      </c>
      <c r="Z30">
        <f>HYPERLINK("https://klasma.github.io/Logging_0765/klagomålsmail/A 54470-2022 FSC-klagomål mail.docx", "A 54470-2022")</f>
        <v/>
      </c>
      <c r="AA30">
        <f>HYPERLINK("https://klasma.github.io/Logging_0765/tillsyn/A 54470-2022 tillsynsbegäran.docx", "A 54470-2022")</f>
        <v/>
      </c>
      <c r="AB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46221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HYPERLINK("https://klasma.github.io/Logging_0765/artfynd/A 10199-2025 artfynd.xlsx", "A 10199-2025")</f>
        <v/>
      </c>
      <c r="W31">
        <f>HYPERLINK("https://klasma.github.io/Logging_0765/kartor/A 10199-2025 karta.png", "A 10199-2025")</f>
        <v/>
      </c>
      <c r="Y31">
        <f>HYPERLINK("https://klasma.github.io/Logging_0765/klagomål/A 10199-2025 FSC-klagomål.docx", "A 10199-2025")</f>
        <v/>
      </c>
      <c r="Z31">
        <f>HYPERLINK("https://klasma.github.io/Logging_0765/klagomålsmail/A 10199-2025 FSC-klagomål mail.docx", "A 10199-2025")</f>
        <v/>
      </c>
      <c r="AA31">
        <f>HYPERLINK("https://klasma.github.io/Logging_0765/tillsyn/A 10199-2025 tillsynsbegäran.docx", "A 10199-2025")</f>
        <v/>
      </c>
      <c r="AB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46221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Utter</t>
        </is>
      </c>
      <c r="V32">
        <f>HYPERLINK("https://klasma.github.io/Logging_0765/artfynd/A 29778-2026 artfynd.xlsx", "A 29778-2026")</f>
        <v/>
      </c>
      <c r="W32">
        <f>HYPERLINK("https://klasma.github.io/Logging_0765/kartor/A 29778-2026 karta.png", "A 29778-2026")</f>
        <v/>
      </c>
      <c r="Y32">
        <f>HYPERLINK("https://klasma.github.io/Logging_0765/klagomål/A 29778-2026 FSC-klagomål.docx", "A 29778-2026")</f>
        <v/>
      </c>
      <c r="Z32">
        <f>HYPERLINK("https://klasma.github.io/Logging_0765/klagomålsmail/A 29778-2026 FSC-klagomål mail.docx", "A 29778-2026")</f>
        <v/>
      </c>
      <c r="AA32">
        <f>HYPERLINK("https://klasma.github.io/Logging_0765/tillsyn/A 29778-2026 tillsynsbegäran.docx", "A 29778-2026")</f>
        <v/>
      </c>
      <c r="AB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46221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Silversmygare</t>
        </is>
      </c>
      <c r="V33">
        <f>HYPERLINK("https://klasma.github.io/Logging_0765/artfynd/A 64296-2023 artfynd.xlsx", "A 64296-2023")</f>
        <v/>
      </c>
      <c r="W33">
        <f>HYPERLINK("https://klasma.github.io/Logging_0765/kartor/A 64296-2023 karta.png", "A 64296-2023")</f>
        <v/>
      </c>
      <c r="Y33">
        <f>HYPERLINK("https://klasma.github.io/Logging_0765/klagomål/A 64296-2023 FSC-klagomål.docx", "A 64296-2023")</f>
        <v/>
      </c>
      <c r="Z33">
        <f>HYPERLINK("https://klasma.github.io/Logging_0765/klagomålsmail/A 64296-2023 FSC-klagomål mail.docx", "A 64296-2023")</f>
        <v/>
      </c>
      <c r="AA33">
        <f>HYPERLINK("https://klasma.github.io/Logging_0765/tillsyn/A 64296-2023 tillsynsbegäran.docx", "A 64296-2023")</f>
        <v/>
      </c>
      <c r="AB33">
        <f>HYPERLINK("https://klasma.github.io/Logging_0765/tillsynsmail/A 64296-2023 tillsynsbegäran mail.docx", "A 64296-2023")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46221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46221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46221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46221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46221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46221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46221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46221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46221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46221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46221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46221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46221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46221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46221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46221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46221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46221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46221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46221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46221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46221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46221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46221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46221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46221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46221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46221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46221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46221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46221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46221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46221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46221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46221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46221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46221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42274-2021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44427</v>
      </c>
      <c r="E71" s="1" t="n">
        <v>46221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46221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46221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37773-2021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44400</v>
      </c>
      <c r="E74" s="1" t="n">
        <v>46221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47414-2021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44447</v>
      </c>
      <c r="E75" s="1" t="n">
        <v>46221</v>
      </c>
      <c r="F75" t="inlineStr">
        <is>
          <t>KRONOBERGS LÄN</t>
        </is>
      </c>
      <c r="G75" t="inlineStr">
        <is>
          <t>ÄLMHULT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46221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46221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47817-2021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46221</v>
      </c>
      <c r="F78" t="inlineStr">
        <is>
          <t>KRONOBERGS LÄN</t>
        </is>
      </c>
      <c r="G78" t="inlineStr">
        <is>
          <t>ÄLMHULT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46221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46221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46221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46221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46221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46221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46221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46221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46221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46221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46221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46221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46221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46221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46221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46221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25812-2022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44733</v>
      </c>
      <c r="E95" s="1" t="n">
        <v>46221</v>
      </c>
      <c r="F95" t="inlineStr">
        <is>
          <t>KRONOBERGS LÄN</t>
        </is>
      </c>
      <c r="G95" t="inlineStr">
        <is>
          <t>ÄLMHULT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46221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46221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46221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46221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46221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46221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46221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46221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46221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56106-2021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46221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46221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46221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46221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46221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46221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46221</v>
      </c>
      <c r="F111" t="inlineStr">
        <is>
          <t>KRONOBERGS LÄN</t>
        </is>
      </c>
      <c r="G111" t="inlineStr">
        <is>
          <t>ÄLMHULT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46221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46221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46221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46221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46221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46221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46221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46221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46221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46221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42337-2022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46221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46221</v>
      </c>
      <c r="F123" t="inlineStr">
        <is>
          <t>KRONOBERGS LÄN</t>
        </is>
      </c>
      <c r="G123" t="inlineStr">
        <is>
          <t>ÄLMHULT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38823-2022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46221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46221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45497</v>
      </c>
      <c r="E126" s="1" t="n">
        <v>46221</v>
      </c>
      <c r="F126" t="inlineStr">
        <is>
          <t>KRONOBERGS LÄN</t>
        </is>
      </c>
      <c r="G126" t="inlineStr">
        <is>
          <t>ÄLMHULT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46221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46221</v>
      </c>
      <c r="F128" t="inlineStr">
        <is>
          <t>KRONOBERGS LÄN</t>
        </is>
      </c>
      <c r="G128" t="inlineStr">
        <is>
          <t>ÄLMHULT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50062-2023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46221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46221</v>
      </c>
      <c r="F130" t="inlineStr">
        <is>
          <t>KRONOBERGS LÄN</t>
        </is>
      </c>
      <c r="G130" t="inlineStr">
        <is>
          <t>ÄLMHULT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46221</v>
      </c>
      <c r="F131" t="inlineStr">
        <is>
          <t>KRONOBERGS LÄN</t>
        </is>
      </c>
      <c r="G131" t="inlineStr">
        <is>
          <t>ÄLMHULT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46221</v>
      </c>
      <c r="F132" t="inlineStr">
        <is>
          <t>KRONOBERGS LÄN</t>
        </is>
      </c>
      <c r="G132" t="inlineStr">
        <is>
          <t>ÄLMHULT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7546-2024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45348</v>
      </c>
      <c r="E133" s="1" t="n">
        <v>46221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46221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21272-2024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46221</v>
      </c>
      <c r="F135" t="inlineStr">
        <is>
          <t>KRONOBERGS LÄN</t>
        </is>
      </c>
      <c r="G135" t="inlineStr">
        <is>
          <t>ÄLMHULT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23832-2023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46221</v>
      </c>
      <c r="F136" t="inlineStr">
        <is>
          <t>KRONOBERGS LÄN</t>
        </is>
      </c>
      <c r="G136" t="inlineStr">
        <is>
          <t>ÄLMHULT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46221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46221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46221</v>
      </c>
      <c r="F139" t="inlineStr">
        <is>
          <t>KRONOBERGS LÄN</t>
        </is>
      </c>
      <c r="G139" t="inlineStr">
        <is>
          <t>ÄLMHULT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37151-2024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46221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47537-2022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46221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46221</v>
      </c>
      <c r="F142" t="inlineStr">
        <is>
          <t>KRONOBERGS LÄN</t>
        </is>
      </c>
      <c r="G142" t="inlineStr">
        <is>
          <t>ÄLMHULT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45317</v>
      </c>
      <c r="E143" s="1" t="n">
        <v>46221</v>
      </c>
      <c r="F143" t="inlineStr">
        <is>
          <t>KRONOBERGS LÄN</t>
        </is>
      </c>
      <c r="G143" t="inlineStr">
        <is>
          <t>ÄLMHULT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45529</v>
      </c>
      <c r="E144" s="1" t="n">
        <v>46221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46221</v>
      </c>
      <c r="F145" t="inlineStr">
        <is>
          <t>KRONOBERGS LÄN</t>
        </is>
      </c>
      <c r="G145" t="inlineStr">
        <is>
          <t>ÄLMHULT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11014-2023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44986</v>
      </c>
      <c r="E146" s="1" t="n">
        <v>46221</v>
      </c>
      <c r="F146" t="inlineStr">
        <is>
          <t>KRONOBERGS LÄN</t>
        </is>
      </c>
      <c r="G146" t="inlineStr">
        <is>
          <t>ÄLMHULT</t>
        </is>
      </c>
      <c r="H146" t="inlineStr">
        <is>
          <t>Kyrkan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50031-2022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46221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25636-2023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46221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46221</v>
      </c>
      <c r="F149" t="inlineStr">
        <is>
          <t>KRONOBERGS LÄN</t>
        </is>
      </c>
      <c r="G149" t="inlineStr">
        <is>
          <t>ÄLMHULT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46221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59124-2022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46221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36000-2024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46221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44962</v>
      </c>
      <c r="E153" s="1" t="n">
        <v>46221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46221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7911-2023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46221</v>
      </c>
      <c r="F155" t="inlineStr">
        <is>
          <t>KRONOBERGS LÄN</t>
        </is>
      </c>
      <c r="G155" t="inlineStr">
        <is>
          <t>ÄLMHULT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46221</v>
      </c>
      <c r="F156" t="inlineStr">
        <is>
          <t>KRONOBERGS LÄN</t>
        </is>
      </c>
      <c r="G156" t="inlineStr">
        <is>
          <t>ÄLMHULT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46221</v>
      </c>
      <c r="F157" t="inlineStr">
        <is>
          <t>KRONOBERGS LÄN</t>
        </is>
      </c>
      <c r="G157" t="inlineStr">
        <is>
          <t>ÄLMHULT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46221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46221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46221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46221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72469-2021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44545</v>
      </c>
      <c r="E162" s="1" t="n">
        <v>46221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24230-2024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45457</v>
      </c>
      <c r="E163" s="1" t="n">
        <v>46221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46221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46221</v>
      </c>
      <c r="F165" t="inlineStr">
        <is>
          <t>KRONOBERGS LÄN</t>
        </is>
      </c>
      <c r="G165" t="inlineStr">
        <is>
          <t>ÄLMHULT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46221</v>
      </c>
      <c r="F166" t="inlineStr">
        <is>
          <t>KRONOBERGS LÄN</t>
        </is>
      </c>
      <c r="G166" t="inlineStr">
        <is>
          <t>ÄLMHULT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20377-2024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46221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46221</v>
      </c>
      <c r="F168" t="inlineStr">
        <is>
          <t>KRONOBERGS LÄN</t>
        </is>
      </c>
      <c r="G168" t="inlineStr">
        <is>
          <t>ÄLMHULT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20382-2024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46221</v>
      </c>
      <c r="F169" t="inlineStr">
        <is>
          <t>KRONOBERGS LÄN</t>
        </is>
      </c>
      <c r="G169" t="inlineStr">
        <is>
          <t>ÄLMHULT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47536-2022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46221</v>
      </c>
      <c r="F170" t="inlineStr">
        <is>
          <t>KRONOBERGS LÄN</t>
        </is>
      </c>
      <c r="G170" t="inlineStr">
        <is>
          <t>ÄLMHULT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60487-2022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46221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46221</v>
      </c>
      <c r="F172" t="inlineStr">
        <is>
          <t>KRONOBERGS LÄN</t>
        </is>
      </c>
      <c r="G172" t="inlineStr">
        <is>
          <t>ÄLMHULT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46221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69444-2021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46221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46221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11587-2024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46221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46221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46221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62241-2021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46221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25865-2025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46221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46221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46221</v>
      </c>
      <c r="F182" t="inlineStr">
        <is>
          <t>KRONOBERGS LÄN</t>
        </is>
      </c>
      <c r="G182" t="inlineStr">
        <is>
          <t>ÄLMHULT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12221-2023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46221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60876-2022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46221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44445-2024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46221</v>
      </c>
      <c r="F185" t="inlineStr">
        <is>
          <t>KRONOBERGS LÄN</t>
        </is>
      </c>
      <c r="G185" t="inlineStr">
        <is>
          <t>ÄLMHULT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46221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46221</v>
      </c>
      <c r="F187" t="inlineStr">
        <is>
          <t>KRONOBERGS LÄN</t>
        </is>
      </c>
      <c r="G187" t="inlineStr">
        <is>
          <t>ÄLMHULT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46221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38476-2025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46221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46221</v>
      </c>
      <c r="F190" t="inlineStr">
        <is>
          <t>KRONOBERGS LÄN</t>
        </is>
      </c>
      <c r="G190" t="inlineStr">
        <is>
          <t>ÄLMHULT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28301-2025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46221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46221</v>
      </c>
      <c r="F192" t="inlineStr">
        <is>
          <t>KRONOBERGS LÄN</t>
        </is>
      </c>
      <c r="G192" t="inlineStr">
        <is>
          <t>ÄLMHULT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45612</v>
      </c>
      <c r="E193" s="1" t="n">
        <v>46221</v>
      </c>
      <c r="F193" t="inlineStr">
        <is>
          <t>KRONOBERGS LÄN</t>
        </is>
      </c>
      <c r="G193" t="inlineStr">
        <is>
          <t>ÄLMHULT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46221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46221</v>
      </c>
      <c r="F195" t="inlineStr">
        <is>
          <t>KRONOBERGS LÄN</t>
        </is>
      </c>
      <c r="G195" t="inlineStr">
        <is>
          <t>ÄLMHULT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46221</v>
      </c>
      <c r="F196" t="inlineStr">
        <is>
          <t>KRONOBERGS LÄN</t>
        </is>
      </c>
      <c r="G196" t="inlineStr">
        <is>
          <t>ÄLMHULT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37803-2024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45543</v>
      </c>
      <c r="E197" s="1" t="n">
        <v>46221</v>
      </c>
      <c r="F197" t="inlineStr">
        <is>
          <t>KRONOBERGS LÄN</t>
        </is>
      </c>
      <c r="G197" t="inlineStr">
        <is>
          <t>ÄLMHULT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46221</v>
      </c>
      <c r="F198" t="inlineStr">
        <is>
          <t>KRONOBERGS LÄN</t>
        </is>
      </c>
      <c r="G198" t="inlineStr">
        <is>
          <t>ÄLMHULT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46221</v>
      </c>
      <c r="F199" t="inlineStr">
        <is>
          <t>KRONOBERGS LÄN</t>
        </is>
      </c>
      <c r="G199" t="inlineStr">
        <is>
          <t>ÄLMHULT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45513</v>
      </c>
      <c r="E200" s="1" t="n">
        <v>46221</v>
      </c>
      <c r="F200" t="inlineStr">
        <is>
          <t>KRONOBERGS LÄN</t>
        </is>
      </c>
      <c r="G200" t="inlineStr">
        <is>
          <t>ÄLMHULT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46221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45564</v>
      </c>
      <c r="E202" s="1" t="n">
        <v>46221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46221</v>
      </c>
      <c r="F203" t="inlineStr">
        <is>
          <t>KRONOBERGS LÄN</t>
        </is>
      </c>
      <c r="G203" t="inlineStr">
        <is>
          <t>ÄLMHULT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46221</v>
      </c>
      <c r="F204" t="inlineStr">
        <is>
          <t>KRONOBERGS LÄN</t>
        </is>
      </c>
      <c r="G204" t="inlineStr">
        <is>
          <t>ÄLMHULT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46221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46221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46221</v>
      </c>
      <c r="F207" t="inlineStr">
        <is>
          <t>KRONOBERGS LÄN</t>
        </is>
      </c>
      <c r="G207" t="inlineStr">
        <is>
          <t>ÄLMHULT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46221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46221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46221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15753-2025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46221</v>
      </c>
      <c r="F211" t="inlineStr">
        <is>
          <t>KRONOBERGS LÄN</t>
        </is>
      </c>
      <c r="G211" t="inlineStr">
        <is>
          <t>ÄLMHULT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31761-2025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46221</v>
      </c>
      <c r="F212" t="inlineStr">
        <is>
          <t>KRONOBERGS LÄN</t>
        </is>
      </c>
      <c r="G212" t="inlineStr">
        <is>
          <t>ÄLMHULT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22415-2024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45446</v>
      </c>
      <c r="E213" s="1" t="n">
        <v>46221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46221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46221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44641</v>
      </c>
      <c r="E216" s="1" t="n">
        <v>46221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46221</v>
      </c>
      <c r="F217" t="inlineStr">
        <is>
          <t>KRONOBERGS LÄN</t>
        </is>
      </c>
      <c r="G217" t="inlineStr">
        <is>
          <t>ÄLMHULT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46221</v>
      </c>
      <c r="F218" t="inlineStr">
        <is>
          <t>KRONOBERGS LÄN</t>
        </is>
      </c>
      <c r="G218" t="inlineStr">
        <is>
          <t>ÄLMHULT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46221</v>
      </c>
      <c r="F219" t="inlineStr">
        <is>
          <t>KRONOBERGS LÄN</t>
        </is>
      </c>
      <c r="G219" t="inlineStr">
        <is>
          <t>ÄLMHULT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46221</v>
      </c>
      <c r="F220" t="inlineStr">
        <is>
          <t>KRONOBERGS LÄN</t>
        </is>
      </c>
      <c r="G220" t="inlineStr">
        <is>
          <t>ÄLMHULT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46221</v>
      </c>
      <c r="F221" t="inlineStr">
        <is>
          <t>KRONOBERGS LÄN</t>
        </is>
      </c>
      <c r="G221" t="inlineStr">
        <is>
          <t>ÄLMHULT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33858-2025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46221</v>
      </c>
      <c r="F222" t="inlineStr">
        <is>
          <t>KRONOBERGS LÄN</t>
        </is>
      </c>
      <c r="G222" t="inlineStr">
        <is>
          <t>ÄLMHULT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44040-2025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46221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40660-2023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46221</v>
      </c>
      <c r="F224" t="inlineStr">
        <is>
          <t>KRONOBERGS LÄN</t>
        </is>
      </c>
      <c r="G224" t="inlineStr">
        <is>
          <t>ÄLMHULT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33754-2025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46221</v>
      </c>
      <c r="F225" t="inlineStr">
        <is>
          <t>KRONOBERGS LÄN</t>
        </is>
      </c>
      <c r="G225" t="inlineStr">
        <is>
          <t>ÄLMHULT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46221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44540-2025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46221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46221</v>
      </c>
      <c r="F228" t="inlineStr">
        <is>
          <t>KRONOBERGS LÄN</t>
        </is>
      </c>
      <c r="G228" t="inlineStr">
        <is>
          <t>ÄLMHULT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46221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46221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46221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46221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46221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49041-2024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46221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46221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46221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25319-2024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46221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46221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46221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46221</v>
      </c>
      <c r="F240" t="inlineStr">
        <is>
          <t>KRONOBERGS LÄN</t>
        </is>
      </c>
      <c r="G240" t="inlineStr">
        <is>
          <t>ÄLMHULT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46221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47002-2025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46221</v>
      </c>
      <c r="F242" t="inlineStr">
        <is>
          <t>KRONOBERGS LÄN</t>
        </is>
      </c>
      <c r="G242" t="inlineStr">
        <is>
          <t>ÄLMHULT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46221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46221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46067-2024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46221</v>
      </c>
      <c r="F245" t="inlineStr">
        <is>
          <t>KRONOBERGS LÄN</t>
        </is>
      </c>
      <c r="G245" t="inlineStr">
        <is>
          <t>ÄLMHULT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45578</v>
      </c>
      <c r="E246" s="1" t="n">
        <v>46221</v>
      </c>
      <c r="F246" t="inlineStr">
        <is>
          <t>KRONOBERGS LÄN</t>
        </is>
      </c>
      <c r="G246" t="inlineStr">
        <is>
          <t>ÄLMHULT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46221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46221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8887-2023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46221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46221</v>
      </c>
      <c r="F250" t="inlineStr">
        <is>
          <t>KRONOBERGS LÄN</t>
        </is>
      </c>
      <c r="G250" t="inlineStr">
        <is>
          <t>ÄLMHULT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46221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11427-2024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46221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46221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57197-2024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46221</v>
      </c>
      <c r="F254" t="inlineStr">
        <is>
          <t>KRONOBERGS LÄN</t>
        </is>
      </c>
      <c r="G254" t="inlineStr">
        <is>
          <t>ÄLMHULT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47511-2025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46221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46221</v>
      </c>
      <c r="F256" t="inlineStr">
        <is>
          <t>KRONOBERGS LÄN</t>
        </is>
      </c>
      <c r="G256" t="inlineStr">
        <is>
          <t>ÄLMHULT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46221</v>
      </c>
      <c r="F257" t="inlineStr">
        <is>
          <t>KRONOBERGS LÄN</t>
        </is>
      </c>
      <c r="G257" t="inlineStr">
        <is>
          <t>ÄLMHULT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46221</v>
      </c>
      <c r="F258" t="inlineStr">
        <is>
          <t>KRONOBERGS LÄN</t>
        </is>
      </c>
      <c r="G258" t="inlineStr">
        <is>
          <t>ÄLMHULT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46221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46221</v>
      </c>
      <c r="F260" t="inlineStr">
        <is>
          <t>KRONOBERGS LÄN</t>
        </is>
      </c>
      <c r="G260" t="inlineStr">
        <is>
          <t>ÄLMHULT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35248-2023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46221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46221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46221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46221</v>
      </c>
      <c r="F264" t="inlineStr">
        <is>
          <t>KRONOBERGS LÄN</t>
        </is>
      </c>
      <c r="G264" t="inlineStr">
        <is>
          <t>ÄLMHULT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24028-2023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46221</v>
      </c>
      <c r="F265" t="inlineStr">
        <is>
          <t>KRONOBERGS LÄN</t>
        </is>
      </c>
      <c r="G265" t="inlineStr">
        <is>
          <t>ÄLMHULT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46221</v>
      </c>
      <c r="F266" t="inlineStr">
        <is>
          <t>KRONOBERGS LÄN</t>
        </is>
      </c>
      <c r="G266" t="inlineStr">
        <is>
          <t>ÄLMHULT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28026-2024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45476</v>
      </c>
      <c r="E267" s="1" t="n">
        <v>46221</v>
      </c>
      <c r="F267" t="inlineStr">
        <is>
          <t>KRONOBERGS LÄN</t>
        </is>
      </c>
      <c r="G267" t="inlineStr">
        <is>
          <t>ÄLMHULT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46221</v>
      </c>
      <c r="F268" t="inlineStr">
        <is>
          <t>KRONOBERGS LÄN</t>
        </is>
      </c>
      <c r="G268" t="inlineStr">
        <is>
          <t>ÄLMHULT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58047-2024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46221</v>
      </c>
      <c r="F269" t="inlineStr">
        <is>
          <t>KRONOBERGS LÄN</t>
        </is>
      </c>
      <c r="G269" t="inlineStr">
        <is>
          <t>ÄLMHULT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19722-2023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45051</v>
      </c>
      <c r="E270" s="1" t="n">
        <v>46221</v>
      </c>
      <c r="F270" t="inlineStr">
        <is>
          <t>KRONOBERGS LÄN</t>
        </is>
      </c>
      <c r="G270" t="inlineStr">
        <is>
          <t>ÄLMHULT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36815-2023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46221</v>
      </c>
      <c r="F271" t="inlineStr">
        <is>
          <t>KRONOBERGS LÄN</t>
        </is>
      </c>
      <c r="G271" t="inlineStr">
        <is>
          <t>ÄLMHULT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46221</v>
      </c>
      <c r="F272" t="inlineStr">
        <is>
          <t>KRONOBERGS LÄN</t>
        </is>
      </c>
      <c r="G272" t="inlineStr">
        <is>
          <t>ÄLMHULT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7726-2026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46221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30370-2022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46221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46221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7594-2026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46061</v>
      </c>
      <c r="E276" s="1" t="n">
        <v>46221</v>
      </c>
      <c r="F276" t="inlineStr">
        <is>
          <t>KRONOBERGS LÄN</t>
        </is>
      </c>
      <c r="G276" t="inlineStr">
        <is>
          <t>ÄLMHULT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52757-2024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46221</v>
      </c>
      <c r="F277" t="inlineStr">
        <is>
          <t>KRONOBERGS LÄN</t>
        </is>
      </c>
      <c r="G277" t="inlineStr">
        <is>
          <t>ÄLMHULT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51852-2025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46221</v>
      </c>
      <c r="F278" t="inlineStr">
        <is>
          <t>KRONOBERGS LÄN</t>
        </is>
      </c>
      <c r="G278" t="inlineStr">
        <is>
          <t>ÄLMHULT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64999-2023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46221</v>
      </c>
      <c r="F279" t="inlineStr">
        <is>
          <t>KRONOBERGS LÄN</t>
        </is>
      </c>
      <c r="G279" t="inlineStr">
        <is>
          <t>ÄLMHULT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68212-2021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44526</v>
      </c>
      <c r="E280" s="1" t="n">
        <v>46221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8102-2026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46063</v>
      </c>
      <c r="E281" s="1" t="n">
        <v>46221</v>
      </c>
      <c r="F281" t="inlineStr">
        <is>
          <t>KRONOBERGS LÄN</t>
        </is>
      </c>
      <c r="G281" t="inlineStr">
        <is>
          <t>ÄLMHULT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37840-2021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44403</v>
      </c>
      <c r="E282" s="1" t="n">
        <v>46221</v>
      </c>
      <c r="F282" t="inlineStr">
        <is>
          <t>KRONOBERGS LÄN</t>
        </is>
      </c>
      <c r="G282" t="inlineStr">
        <is>
          <t>ÄLMHULT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8632-2026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46221</v>
      </c>
      <c r="F283" t="inlineStr">
        <is>
          <t>KRONOBERGS LÄN</t>
        </is>
      </c>
      <c r="G283" t="inlineStr">
        <is>
          <t>ÄLMHULT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46221</v>
      </c>
      <c r="F284" t="inlineStr">
        <is>
          <t>KRONOBERGS LÄN</t>
        </is>
      </c>
      <c r="G284" t="inlineStr">
        <is>
          <t>ÄLMHULT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46221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46221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46221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8566-2026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46221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46221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41227-2022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44826</v>
      </c>
      <c r="E290" s="1" t="n">
        <v>46221</v>
      </c>
      <c r="F290" t="inlineStr">
        <is>
          <t>KRONOBERGS LÄN</t>
        </is>
      </c>
      <c r="G290" t="inlineStr">
        <is>
          <t>ÄLMHULT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21164-2023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46221</v>
      </c>
      <c r="F291" t="inlineStr">
        <is>
          <t>KRONOBERGS LÄN</t>
        </is>
      </c>
      <c r="G291" t="inlineStr">
        <is>
          <t>ÄLMHULT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60621-2021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46221</v>
      </c>
      <c r="F292" t="inlineStr">
        <is>
          <t>KRONOBERGS LÄN</t>
        </is>
      </c>
      <c r="G292" t="inlineStr">
        <is>
          <t>ÄLMHULT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46221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46221</v>
      </c>
      <c r="F294" t="inlineStr">
        <is>
          <t>KRONOBERGS LÄN</t>
        </is>
      </c>
      <c r="G294" t="inlineStr">
        <is>
          <t>ÄLMHULT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46221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46221</v>
      </c>
      <c r="F296" t="inlineStr">
        <is>
          <t>KRONOBERGS LÄN</t>
        </is>
      </c>
      <c r="G296" t="inlineStr">
        <is>
          <t>ÄLMHULT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46221</v>
      </c>
      <c r="F297" t="inlineStr">
        <is>
          <t>KRONOBERGS LÄN</t>
        </is>
      </c>
      <c r="G297" t="inlineStr">
        <is>
          <t>ÄLMHULT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10282-2026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46221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46221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46221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46221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44784</v>
      </c>
      <c r="E302" s="1" t="n">
        <v>46221</v>
      </c>
      <c r="F302" t="inlineStr">
        <is>
          <t>KRONOBERGS LÄN</t>
        </is>
      </c>
      <c r="G302" t="inlineStr">
        <is>
          <t>ÄLMHULT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7539-2024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46221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55290-2025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45969</v>
      </c>
      <c r="E304" s="1" t="n">
        <v>46221</v>
      </c>
      <c r="F304" t="inlineStr">
        <is>
          <t>KRONOBERGS LÄN</t>
        </is>
      </c>
      <c r="G304" t="inlineStr">
        <is>
          <t>ÄLMHULT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55291-2025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46221</v>
      </c>
      <c r="F305" t="inlineStr">
        <is>
          <t>KRONOBERGS LÄN</t>
        </is>
      </c>
      <c r="G305" t="inlineStr">
        <is>
          <t>ÄLMHULT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30322-2025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45827</v>
      </c>
      <c r="E306" s="1" t="n">
        <v>46221</v>
      </c>
      <c r="F306" t="inlineStr">
        <is>
          <t>KRONOBERGS LÄN</t>
        </is>
      </c>
      <c r="G306" t="inlineStr">
        <is>
          <t>ÄLMHULT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56846-2023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46221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13280-2025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46221</v>
      </c>
      <c r="F308" t="inlineStr">
        <is>
          <t>KRONOBERGS LÄN</t>
        </is>
      </c>
      <c r="G308" t="inlineStr">
        <is>
          <t>ÄLMHULT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46221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63116-2023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46221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63118-2023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46221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44865</v>
      </c>
      <c r="E312" s="1" t="n">
        <v>46221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24029-2023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46221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46221</v>
      </c>
      <c r="F314" t="inlineStr">
        <is>
          <t>KRONOBERGS LÄN</t>
        </is>
      </c>
      <c r="G314" t="inlineStr">
        <is>
          <t>ÄLMHULT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30963-2023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46221</v>
      </c>
      <c r="F315" t="inlineStr">
        <is>
          <t>KRONOBERGS LÄN</t>
        </is>
      </c>
      <c r="G315" t="inlineStr">
        <is>
          <t>ÄLMHULT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42489-2023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46221</v>
      </c>
      <c r="F316" t="inlineStr">
        <is>
          <t>KRONOBERGS LÄN</t>
        </is>
      </c>
      <c r="G316" t="inlineStr">
        <is>
          <t>ÄLMHULT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59793-2025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46221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59803-2025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46221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59780-2025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46221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59771-2025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46221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46221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46221</v>
      </c>
      <c r="F322" t="inlineStr">
        <is>
          <t>KRONOBERGS LÄN</t>
        </is>
      </c>
      <c r="G322" t="inlineStr">
        <is>
          <t>ÄLMHULT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68552-2021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44529</v>
      </c>
      <c r="E323" s="1" t="n">
        <v>46221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46221</v>
      </c>
      <c r="F324" t="inlineStr">
        <is>
          <t>KRONOBERGS LÄN</t>
        </is>
      </c>
      <c r="G324" t="inlineStr">
        <is>
          <t>ÄLMHULT</t>
        </is>
      </c>
      <c r="I324" t="n">
        <v>29.1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46221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45133</v>
      </c>
      <c r="E326" s="1" t="n">
        <v>46221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46221</v>
      </c>
      <c r="F327" t="inlineStr">
        <is>
          <t>KRONOBERGS LÄN</t>
        </is>
      </c>
      <c r="G327" t="inlineStr">
        <is>
          <t>ÄLMHULT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45467</v>
      </c>
      <c r="E328" s="1" t="n">
        <v>46221</v>
      </c>
      <c r="F328" t="inlineStr">
        <is>
          <t>KRONOBERGS LÄN</t>
        </is>
      </c>
      <c r="G328" t="inlineStr">
        <is>
          <t>ÄLMHULT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46221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46221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46221</v>
      </c>
      <c r="F331" t="inlineStr">
        <is>
          <t>KRONOBERGS LÄN</t>
        </is>
      </c>
      <c r="G331" t="inlineStr">
        <is>
          <t>ÄLMHULT</t>
        </is>
      </c>
      <c r="H331" t="inlineStr">
        <is>
          <t>Kommuner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61418-2025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46221</v>
      </c>
      <c r="F332" t="inlineStr">
        <is>
          <t>KRONOBERGS LÄN</t>
        </is>
      </c>
      <c r="G332" t="inlineStr">
        <is>
          <t>ÄLMHULT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44858</v>
      </c>
      <c r="E333" s="1" t="n">
        <v>46221</v>
      </c>
      <c r="F333" t="inlineStr">
        <is>
          <t>KRONOBERGS LÄN</t>
        </is>
      </c>
      <c r="G333" t="inlineStr">
        <is>
          <t>ÄLMHULT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46221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44855-2021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44438</v>
      </c>
      <c r="E335" s="1" t="n">
        <v>46221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45374</v>
      </c>
      <c r="E336" s="1" t="n">
        <v>46221</v>
      </c>
      <c r="F336" t="inlineStr">
        <is>
          <t>KRONOBERGS LÄN</t>
        </is>
      </c>
      <c r="G336" t="inlineStr">
        <is>
          <t>ÄLMHULT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45433</v>
      </c>
      <c r="E337" s="1" t="n">
        <v>46221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59114-2022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46221</v>
      </c>
      <c r="F338" t="inlineStr">
        <is>
          <t>KRONOBERGS LÄN</t>
        </is>
      </c>
      <c r="G338" t="inlineStr">
        <is>
          <t>ÄLMHULT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13680-2025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46221</v>
      </c>
      <c r="F339" t="inlineStr">
        <is>
          <t>KRONOBERGS LÄN</t>
        </is>
      </c>
      <c r="G339" t="inlineStr">
        <is>
          <t>ÄLMHULT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46221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44434</v>
      </c>
      <c r="E341" s="1" t="n">
        <v>46221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46221</v>
      </c>
      <c r="F342" t="inlineStr">
        <is>
          <t>KRONOBERGS LÄN</t>
        </is>
      </c>
      <c r="G342" t="inlineStr">
        <is>
          <t>ÄLMHULT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27334-2025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45812</v>
      </c>
      <c r="E343" s="1" t="n">
        <v>46221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46221</v>
      </c>
      <c r="F344" t="inlineStr">
        <is>
          <t>KRONOBERGS LÄN</t>
        </is>
      </c>
      <c r="G344" t="inlineStr">
        <is>
          <t>ÄLMHULT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46221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19295-2023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45049</v>
      </c>
      <c r="E346" s="1" t="n">
        <v>46221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63569-2021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44508</v>
      </c>
      <c r="E347" s="1" t="n">
        <v>46221</v>
      </c>
      <c r="F347" t="inlineStr">
        <is>
          <t>KRONOBERGS LÄN</t>
        </is>
      </c>
      <c r="G347" t="inlineStr">
        <is>
          <t>ÄLMHULT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42871-2024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46221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46221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15337-2026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46221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15334-2026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46221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63742-2025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46016</v>
      </c>
      <c r="E352" s="1" t="n">
        <v>46221</v>
      </c>
      <c r="F352" t="inlineStr">
        <is>
          <t>KRONOBERGS LÄN</t>
        </is>
      </c>
      <c r="G352" t="inlineStr">
        <is>
          <t>ÄLMHULT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46221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46221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12893-2023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46221</v>
      </c>
      <c r="F355" t="inlineStr">
        <is>
          <t>KRONOBERGS LÄN</t>
        </is>
      </c>
      <c r="G355" t="inlineStr">
        <is>
          <t>ÄLMHULT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8265-2024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45352</v>
      </c>
      <c r="E356" s="1" t="n">
        <v>46221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56938-2021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44482</v>
      </c>
      <c r="E357" s="1" t="n">
        <v>46221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46221</v>
      </c>
      <c r="F358" t="inlineStr">
        <is>
          <t>KRONOBERGS LÄN</t>
        </is>
      </c>
      <c r="G358" t="inlineStr">
        <is>
          <t>ÄLMHULT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15320-2026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46221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46221</v>
      </c>
      <c r="F360" t="inlineStr">
        <is>
          <t>KRONOBERGS LÄN</t>
        </is>
      </c>
      <c r="G360" t="inlineStr">
        <is>
          <t>ÄLMHULT</t>
        </is>
      </c>
      <c r="H360" t="inlineStr">
        <is>
          <t>Sveaskog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46221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46221</v>
      </c>
      <c r="F362" t="inlineStr">
        <is>
          <t>KRONOBERGS LÄN</t>
        </is>
      </c>
      <c r="G362" t="inlineStr">
        <is>
          <t>ÄLMHULT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44992</v>
      </c>
      <c r="E363" s="1" t="n">
        <v>46221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15555-2026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46221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15399-2026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46221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15.6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8255-2024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45352</v>
      </c>
      <c r="E366" s="1" t="n">
        <v>46221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15396-2026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46221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46221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15395-2026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46221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46221</v>
      </c>
      <c r="F370" t="inlineStr">
        <is>
          <t>KRONOBERGS LÄN</t>
        </is>
      </c>
      <c r="G370" t="inlineStr">
        <is>
          <t>ÄLMHULT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46221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46221</v>
      </c>
      <c r="F372" t="inlineStr">
        <is>
          <t>KRONOBERGS LÄN</t>
        </is>
      </c>
      <c r="G372" t="inlineStr">
        <is>
          <t>ÄLMHULT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16137-2026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46221</v>
      </c>
      <c r="F373" t="inlineStr">
        <is>
          <t>KRONOBERGS LÄN</t>
        </is>
      </c>
      <c r="G373" t="inlineStr">
        <is>
          <t>ÄLMHULT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26386-2023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46221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13606-2023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45006</v>
      </c>
      <c r="E375" s="1" t="n">
        <v>46221</v>
      </c>
      <c r="F375" t="inlineStr">
        <is>
          <t>KRONOBERGS LÄN</t>
        </is>
      </c>
      <c r="G375" t="inlineStr">
        <is>
          <t>ÄLMHULT</t>
        </is>
      </c>
      <c r="H375" t="inlineStr">
        <is>
          <t>Kommuner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26454-2023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46221</v>
      </c>
      <c r="F376" t="inlineStr">
        <is>
          <t>KRONOBERGS LÄN</t>
        </is>
      </c>
      <c r="G376" t="inlineStr">
        <is>
          <t>ÄLMHULT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39380-2023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46221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11938-2024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46221</v>
      </c>
      <c r="F378" t="inlineStr">
        <is>
          <t>KRONOBERGS LÄN</t>
        </is>
      </c>
      <c r="G378" t="inlineStr">
        <is>
          <t>ÄLMHULT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46221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46221</v>
      </c>
      <c r="F380" t="inlineStr">
        <is>
          <t>KRONOBERGS LÄN</t>
        </is>
      </c>
      <c r="G380" t="inlineStr">
        <is>
          <t>ÄLMHULT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46221</v>
      </c>
      <c r="F381" t="inlineStr">
        <is>
          <t>KRONOBERGS LÄN</t>
        </is>
      </c>
      <c r="G381" t="inlineStr">
        <is>
          <t>ÄLMHULT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71802-2021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44543</v>
      </c>
      <c r="E382" s="1" t="n">
        <v>46221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37015-2023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46221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23104-2024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46221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44523</v>
      </c>
      <c r="E385" s="1" t="n">
        <v>46221</v>
      </c>
      <c r="F385" t="inlineStr">
        <is>
          <t>KRONOBERGS LÄN</t>
        </is>
      </c>
      <c r="G385" t="inlineStr">
        <is>
          <t>ÄLMHULT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55629-2021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44476</v>
      </c>
      <c r="E386" s="1" t="n">
        <v>46221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47281-2024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46221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54734-2021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44473</v>
      </c>
      <c r="E388" s="1" t="n">
        <v>46221</v>
      </c>
      <c r="F388" t="inlineStr">
        <is>
          <t>KRONOBERGS LÄN</t>
        </is>
      </c>
      <c r="G388" t="inlineStr">
        <is>
          <t>ÄLMHULT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53661-2024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45615</v>
      </c>
      <c r="E389" s="1" t="n">
        <v>46221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46221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27756-2023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46221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  <c r="X391">
        <f>HYPERLINK("https://klasma.github.io/Logging_0765/knärot/A 27756-2023 karta knärot.png", "A 27756-2023")</f>
        <v/>
      </c>
      <c r="Y391">
        <f>HYPERLINK("https://klasma.github.io/Logging_0765/klagomål/A 27756-2023 FSC-klagomål.docx", "A 27756-2023")</f>
        <v/>
      </c>
      <c r="Z391">
        <f>HYPERLINK("https://klasma.github.io/Logging_0765/klagomålsmail/A 27756-2023 FSC-klagomål mail.docx", "A 27756-2023")</f>
        <v/>
      </c>
      <c r="AA391">
        <f>HYPERLINK("https://klasma.github.io/Logging_0765/tillsyn/A 27756-2023 tillsynsbegäran.docx", "A 27756-2023")</f>
        <v/>
      </c>
      <c r="AB391">
        <f>HYPERLINK("https://klasma.github.io/Logging_0765/tillsynsmail/A 27756-2023 tillsynsbegäran mail.docx", "A 27756-2023")</f>
        <v/>
      </c>
    </row>
    <row r="392" ht="15" customHeight="1">
      <c r="A392" t="inlineStr">
        <is>
          <t>A 18018-2026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46221</v>
      </c>
      <c r="F392" t="inlineStr">
        <is>
          <t>KRONOBERGS LÄN</t>
        </is>
      </c>
      <c r="G392" t="inlineStr">
        <is>
          <t>ÄLMHULT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52171-2024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46221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46221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40909-2024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46221</v>
      </c>
      <c r="F395" t="inlineStr">
        <is>
          <t>KRONOBERGS LÄN</t>
        </is>
      </c>
      <c r="G395" t="inlineStr">
        <is>
          <t>ÄLMHULT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37064-2024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46221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33844-2023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45133</v>
      </c>
      <c r="E397" s="1" t="n">
        <v>46221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18702-2026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46221</v>
      </c>
      <c r="F398" t="inlineStr">
        <is>
          <t>KRONOBERGS LÄN</t>
        </is>
      </c>
      <c r="G398" t="inlineStr">
        <is>
          <t>ÄLMHULT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8490-2024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46221</v>
      </c>
      <c r="F399" t="inlineStr">
        <is>
          <t>KRONOBERGS LÄN</t>
        </is>
      </c>
      <c r="G399" t="inlineStr">
        <is>
          <t>ÄLMHULT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8492-2024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45355</v>
      </c>
      <c r="E400" s="1" t="n">
        <v>46221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46221</v>
      </c>
      <c r="F401" t="inlineStr">
        <is>
          <t>KRONOBERGS LÄN</t>
        </is>
      </c>
      <c r="G401" t="inlineStr">
        <is>
          <t>ÄLMHULT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44672-2023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46221</v>
      </c>
      <c r="F402" t="inlineStr">
        <is>
          <t>KRONOBERGS LÄN</t>
        </is>
      </c>
      <c r="G402" t="inlineStr">
        <is>
          <t>ÄLMHULT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14283-2023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45010</v>
      </c>
      <c r="E403" s="1" t="n">
        <v>46221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37067-2024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46221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8495-2024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46221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39573-2023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46221</v>
      </c>
      <c r="F406" t="inlineStr">
        <is>
          <t>KRONOBERGS LÄN</t>
        </is>
      </c>
      <c r="G406" t="inlineStr">
        <is>
          <t>ÄLMHULT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46221</v>
      </c>
      <c r="F407" t="inlineStr">
        <is>
          <t>KRONOBERGS LÄN</t>
        </is>
      </c>
      <c r="G407" t="inlineStr">
        <is>
          <t>ÄLMHULT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10743-2025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46221</v>
      </c>
      <c r="F408" t="inlineStr">
        <is>
          <t>KRONOBERGS LÄN</t>
        </is>
      </c>
      <c r="G408" t="inlineStr">
        <is>
          <t>ÄLMHULT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10216-2025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46221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25311-2024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46221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32197-2025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46221</v>
      </c>
      <c r="F411" t="inlineStr">
        <is>
          <t>KRONOBERGS LÄN</t>
        </is>
      </c>
      <c r="G411" t="inlineStr">
        <is>
          <t>ÄLMHULT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35478-2024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46221</v>
      </c>
      <c r="F412" t="inlineStr">
        <is>
          <t>KRONOBERGS LÄN</t>
        </is>
      </c>
      <c r="G412" t="inlineStr">
        <is>
          <t>ÄLMHULT</t>
        </is>
      </c>
      <c r="H412" t="inlineStr">
        <is>
          <t>Kyrkan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19265-2023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46221</v>
      </c>
      <c r="F413" t="inlineStr">
        <is>
          <t>KRONOBERGS LÄN</t>
        </is>
      </c>
      <c r="G413" t="inlineStr">
        <is>
          <t>ÄLMHULT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43429-2025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46221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46221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38730-2025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46221</v>
      </c>
      <c r="F416" t="inlineStr">
        <is>
          <t>KRONOBERGS LÄN</t>
        </is>
      </c>
      <c r="G416" t="inlineStr">
        <is>
          <t>ÄLMHULT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64773-2023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46221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18440-2022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44686</v>
      </c>
      <c r="E418" s="1" t="n">
        <v>46221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46221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46221</v>
      </c>
      <c r="F420" t="inlineStr">
        <is>
          <t>KRONOBERGS LÄN</t>
        </is>
      </c>
      <c r="G420" t="inlineStr">
        <is>
          <t>ÄLMHULT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38457-2025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46221</v>
      </c>
      <c r="F421" t="inlineStr">
        <is>
          <t>KRONOBERGS LÄN</t>
        </is>
      </c>
      <c r="G421" t="inlineStr">
        <is>
          <t>ÄLMHULT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46221</v>
      </c>
      <c r="F422" t="inlineStr">
        <is>
          <t>KRONOBERGS LÄN</t>
        </is>
      </c>
      <c r="G422" t="inlineStr">
        <is>
          <t>ÄLMHULT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46221</v>
      </c>
      <c r="F423" t="inlineStr">
        <is>
          <t>KRONOBERGS LÄN</t>
        </is>
      </c>
      <c r="G423" t="inlineStr">
        <is>
          <t>ÄLMHULT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12112-2022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46221</v>
      </c>
      <c r="F424" t="inlineStr">
        <is>
          <t>KRONOBERGS LÄN</t>
        </is>
      </c>
      <c r="G424" t="inlineStr">
        <is>
          <t>ÄLMHULT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46472-2023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46221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36545-2024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46221</v>
      </c>
      <c r="F426" t="inlineStr">
        <is>
          <t>KRONOBERGS LÄN</t>
        </is>
      </c>
      <c r="G426" t="inlineStr">
        <is>
          <t>ÄLMHULT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46221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45716</v>
      </c>
      <c r="E428" s="1" t="n">
        <v>46221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46221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69454-2021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44531</v>
      </c>
      <c r="E430" s="1" t="n">
        <v>46221</v>
      </c>
      <c r="F430" t="inlineStr">
        <is>
          <t>KRONOBERGS LÄN</t>
        </is>
      </c>
      <c r="G430" t="inlineStr">
        <is>
          <t>ÄLMHULT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44587</v>
      </c>
      <c r="E431" s="1" t="n">
        <v>46221</v>
      </c>
      <c r="F431" t="inlineStr">
        <is>
          <t>KRONOBERGS LÄN</t>
        </is>
      </c>
      <c r="G431" t="inlineStr">
        <is>
          <t>ÄLMHULT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21201-2023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46221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46221</v>
      </c>
      <c r="F433" t="inlineStr">
        <is>
          <t>KRONOBERGS LÄN</t>
        </is>
      </c>
      <c r="G433" t="inlineStr">
        <is>
          <t>ÄLMHULT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46221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46221</v>
      </c>
      <c r="F435" t="inlineStr">
        <is>
          <t>KRONOBERGS LÄN</t>
        </is>
      </c>
      <c r="G435" t="inlineStr">
        <is>
          <t>ÄLMHULT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51764-2023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46221</v>
      </c>
      <c r="F436" t="inlineStr">
        <is>
          <t>KRONOBERGS LÄN</t>
        </is>
      </c>
      <c r="G436" t="inlineStr">
        <is>
          <t>ÄLMHULT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46221</v>
      </c>
      <c r="F437" t="inlineStr">
        <is>
          <t>KRONOBERGS LÄN</t>
        </is>
      </c>
      <c r="G437" t="inlineStr">
        <is>
          <t>ÄLMHULT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49934-2023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46221</v>
      </c>
      <c r="F438" t="inlineStr">
        <is>
          <t>KRONOBERGS LÄN</t>
        </is>
      </c>
      <c r="G438" t="inlineStr">
        <is>
          <t>ÄLMHULT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61970-2024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45653</v>
      </c>
      <c r="E439" s="1" t="n">
        <v>46221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48559-2022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46221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44634</v>
      </c>
      <c r="E441" s="1" t="n">
        <v>46221</v>
      </c>
      <c r="F441" t="inlineStr">
        <is>
          <t>KRONOBERGS LÄN</t>
        </is>
      </c>
      <c r="G441" t="inlineStr">
        <is>
          <t>ÄLMHULT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49292-2022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44861</v>
      </c>
      <c r="E442" s="1" t="n">
        <v>46221</v>
      </c>
      <c r="F442" t="inlineStr">
        <is>
          <t>KRONOBERGS LÄN</t>
        </is>
      </c>
      <c r="G442" t="inlineStr">
        <is>
          <t>ÄLMHULT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56660-2024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46221</v>
      </c>
      <c r="F443" t="inlineStr">
        <is>
          <t>KRONOBERGS LÄN</t>
        </is>
      </c>
      <c r="G443" t="inlineStr">
        <is>
          <t>ÄLMHULT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9767-2025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45716</v>
      </c>
      <c r="E444" s="1" t="n">
        <v>46221</v>
      </c>
      <c r="F444" t="inlineStr">
        <is>
          <t>KRONOBERGS LÄN</t>
        </is>
      </c>
      <c r="G444" t="inlineStr">
        <is>
          <t>ÄLMHULT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46221</v>
      </c>
      <c r="F445" t="inlineStr">
        <is>
          <t>KRONOBERGS LÄN</t>
        </is>
      </c>
      <c r="G445" t="inlineStr">
        <is>
          <t>ÄLMHULT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46221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19803-2025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46221</v>
      </c>
      <c r="F447" t="inlineStr">
        <is>
          <t>KRONOBERGS LÄN</t>
        </is>
      </c>
      <c r="G447" t="inlineStr">
        <is>
          <t>ÄLMHULT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57501-2024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46221</v>
      </c>
      <c r="F448" t="inlineStr">
        <is>
          <t>KRONOBERGS LÄN</t>
        </is>
      </c>
      <c r="G448" t="inlineStr">
        <is>
          <t>ÄLMHULT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57315-2023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45240</v>
      </c>
      <c r="E449" s="1" t="n">
        <v>46221</v>
      </c>
      <c r="F449" t="inlineStr">
        <is>
          <t>KRONOBERGS LÄN</t>
        </is>
      </c>
      <c r="G449" t="inlineStr">
        <is>
          <t>ÄLMHULT</t>
        </is>
      </c>
      <c r="H449" t="inlineStr">
        <is>
          <t>Kyrkan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39360-2023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46221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45460</v>
      </c>
      <c r="E451" s="1" t="n">
        <v>46221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46221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45698</v>
      </c>
      <c r="E453" s="1" t="n">
        <v>46221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47425-2023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45202</v>
      </c>
      <c r="E454" s="1" t="n">
        <v>46221</v>
      </c>
      <c r="F454" t="inlineStr">
        <is>
          <t>KRONOBERGS LÄN</t>
        </is>
      </c>
      <c r="G454" t="inlineStr">
        <is>
          <t>ÄLMHULT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42490-2023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46221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49564-2023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46221</v>
      </c>
      <c r="F456" t="inlineStr">
        <is>
          <t>KRONOBERGS LÄN</t>
        </is>
      </c>
      <c r="G456" t="inlineStr">
        <is>
          <t>ÄLMHULT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45214</v>
      </c>
      <c r="E457" s="1" t="n">
        <v>46221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46221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46221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46221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45681</v>
      </c>
      <c r="E461" s="1" t="n">
        <v>46221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54363-2023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46221</v>
      </c>
      <c r="F462" t="inlineStr">
        <is>
          <t>KRONOBERGS LÄN</t>
        </is>
      </c>
      <c r="G462" t="inlineStr">
        <is>
          <t>ÄLMHULT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54364-2023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45233</v>
      </c>
      <c r="E463" s="1" t="n">
        <v>46221</v>
      </c>
      <c r="F463" t="inlineStr">
        <is>
          <t>KRONOBERGS LÄN</t>
        </is>
      </c>
      <c r="G463" t="inlineStr">
        <is>
          <t>ÄLMHULT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20617-2026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46221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46221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46221</v>
      </c>
      <c r="F466" t="inlineStr">
        <is>
          <t>KRONOBERGS LÄN</t>
        </is>
      </c>
      <c r="G466" t="inlineStr">
        <is>
          <t>ÄLMHULT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53201-2024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46221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46221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57574-2023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45246</v>
      </c>
      <c r="E469" s="1" t="n">
        <v>46221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45679</v>
      </c>
      <c r="E470" s="1" t="n">
        <v>46221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35481-2024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45531</v>
      </c>
      <c r="E471" s="1" t="n">
        <v>46221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8260-2024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45352</v>
      </c>
      <c r="E472" s="1" t="n">
        <v>46221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58473-2023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46221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58474-2023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46221</v>
      </c>
      <c r="F474" t="inlineStr">
        <is>
          <t>KRONOBERGS LÄN</t>
        </is>
      </c>
      <c r="G474" t="inlineStr">
        <is>
          <t>ÄLMHULT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21384-2026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46221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59265-2023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46221</v>
      </c>
      <c r="F476" t="inlineStr">
        <is>
          <t>KRONOBERGS LÄN</t>
        </is>
      </c>
      <c r="G476" t="inlineStr">
        <is>
          <t>ÄLMHULT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18251-2024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45421</v>
      </c>
      <c r="E477" s="1" t="n">
        <v>46221</v>
      </c>
      <c r="F477" t="inlineStr">
        <is>
          <t>KRONOBERGS LÄN</t>
        </is>
      </c>
      <c r="G477" t="inlineStr">
        <is>
          <t>ÄLMHULT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49578-2023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46221</v>
      </c>
      <c r="F478" t="inlineStr">
        <is>
          <t>KRONOBERGS LÄN</t>
        </is>
      </c>
      <c r="G478" t="inlineStr">
        <is>
          <t>ÄLMHULT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24808-2023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46221</v>
      </c>
      <c r="F479" t="inlineStr">
        <is>
          <t>KRONOBERGS LÄN</t>
        </is>
      </c>
      <c r="G479" t="inlineStr">
        <is>
          <t>ÄLMHULT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60690-2021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46221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20747-2026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46221</v>
      </c>
      <c r="F481" t="inlineStr">
        <is>
          <t>KRONOBERGS LÄN</t>
        </is>
      </c>
      <c r="G481" t="inlineStr">
        <is>
          <t>ÄLMHULT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19704-2023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45051</v>
      </c>
      <c r="E482" s="1" t="n">
        <v>46221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62481-2023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45268</v>
      </c>
      <c r="E483" s="1" t="n">
        <v>46221</v>
      </c>
      <c r="F483" t="inlineStr">
        <is>
          <t>KRONOBERGS LÄN</t>
        </is>
      </c>
      <c r="G483" t="inlineStr">
        <is>
          <t>ÄLMHULT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26516-2024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46221</v>
      </c>
      <c r="F484" t="inlineStr">
        <is>
          <t>KRONOBERGS LÄN</t>
        </is>
      </c>
      <c r="G484" t="inlineStr">
        <is>
          <t>ÄLMHULT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46221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53053-2022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44876</v>
      </c>
      <c r="E486" s="1" t="n">
        <v>46221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21241-2024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45440</v>
      </c>
      <c r="E487" s="1" t="n">
        <v>46221</v>
      </c>
      <c r="F487" t="inlineStr">
        <is>
          <t>KRONOBERGS LÄN</t>
        </is>
      </c>
      <c r="G487" t="inlineStr">
        <is>
          <t>ÄLMHULT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22335-2026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46221</v>
      </c>
      <c r="F488" t="inlineStr">
        <is>
          <t>KRONOBERGS LÄN</t>
        </is>
      </c>
      <c r="G488" t="inlineStr">
        <is>
          <t>ÄLMHULT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62120-2022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44921</v>
      </c>
      <c r="E489" s="1" t="n">
        <v>46221</v>
      </c>
      <c r="F489" t="inlineStr">
        <is>
          <t>KRONOBERGS LÄN</t>
        </is>
      </c>
      <c r="G489" t="inlineStr">
        <is>
          <t>ÄLMHULT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46221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28683-2026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46221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46221</v>
      </c>
      <c r="F492" t="inlineStr">
        <is>
          <t>KRONOBERGS LÄN</t>
        </is>
      </c>
      <c r="G492" t="inlineStr">
        <is>
          <t>ÄLMHULT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52175-2024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46221</v>
      </c>
      <c r="F493" t="inlineStr">
        <is>
          <t>KRONOBERGS LÄN</t>
        </is>
      </c>
      <c r="G493" t="inlineStr">
        <is>
          <t>ÄLMHULT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38428-2024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45546</v>
      </c>
      <c r="E494" s="1" t="n">
        <v>46221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28693-2026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46221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10087-2022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44621</v>
      </c>
      <c r="E496" s="1" t="n">
        <v>46221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22537-2026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46221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28686-2026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46221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48331-2022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44858</v>
      </c>
      <c r="E499" s="1" t="n">
        <v>46221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43903-2023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46221</v>
      </c>
      <c r="F500" t="inlineStr">
        <is>
          <t>KRONOBERGS LÄN</t>
        </is>
      </c>
      <c r="G500" t="inlineStr">
        <is>
          <t>ÄLMHULT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46221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17161-2024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46221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17212-2024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45414</v>
      </c>
      <c r="E503" s="1" t="n">
        <v>46221</v>
      </c>
      <c r="F503" t="inlineStr">
        <is>
          <t>KRONOBERGS LÄN</t>
        </is>
      </c>
      <c r="G503" t="inlineStr">
        <is>
          <t>ÄLMHULT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46221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8329-2022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44610</v>
      </c>
      <c r="E505" s="1" t="n">
        <v>46221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28614-2026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46221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11195-2023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46221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46221</v>
      </c>
      <c r="F508" t="inlineStr">
        <is>
          <t>KRONOBERGS LÄN</t>
        </is>
      </c>
      <c r="G508" t="inlineStr">
        <is>
          <t>ÄLMHULT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46221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46221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24928-2023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46221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46221</v>
      </c>
      <c r="F512" t="inlineStr">
        <is>
          <t>KRONOBERGS LÄN</t>
        </is>
      </c>
      <c r="G512" t="inlineStr">
        <is>
          <t>ÄLMHULT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49112-2022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46221</v>
      </c>
      <c r="F513" t="inlineStr">
        <is>
          <t>KRONOBERGS LÄN</t>
        </is>
      </c>
      <c r="G513" t="inlineStr">
        <is>
          <t>ÄLMHULT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43852-2023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46221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10272-2026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46221</v>
      </c>
      <c r="F515" t="inlineStr">
        <is>
          <t>KRONOBERGS LÄN</t>
        </is>
      </c>
      <c r="G515" t="inlineStr">
        <is>
          <t>ÄLMHULT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65247-2023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45290</v>
      </c>
      <c r="E516" s="1" t="n">
        <v>46221</v>
      </c>
      <c r="F516" t="inlineStr">
        <is>
          <t>KRONOBERGS LÄN</t>
        </is>
      </c>
      <c r="G516" t="inlineStr">
        <is>
          <t>ÄLMHULT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52332-2024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45609</v>
      </c>
      <c r="E517" s="1" t="n">
        <v>46221</v>
      </c>
      <c r="F517" t="inlineStr">
        <is>
          <t>KRONOBERGS LÄN</t>
        </is>
      </c>
      <c r="G517" t="inlineStr">
        <is>
          <t>ÄLMHULT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50541-2023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45217</v>
      </c>
      <c r="E518" s="1" t="n">
        <v>46221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56925-2023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46221</v>
      </c>
      <c r="F519" t="inlineStr">
        <is>
          <t>KRONOBERGS LÄN</t>
        </is>
      </c>
      <c r="G519" t="inlineStr">
        <is>
          <t>ÄLMHULT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30494-2023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46221</v>
      </c>
      <c r="F520" t="inlineStr">
        <is>
          <t>KRONOBERGS LÄN</t>
        </is>
      </c>
      <c r="G520" t="inlineStr">
        <is>
          <t>ÄLMHULT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46221</v>
      </c>
      <c r="F521" t="inlineStr">
        <is>
          <t>KRONOBERGS LÄN</t>
        </is>
      </c>
      <c r="G521" t="inlineStr">
        <is>
          <t>ÄLMHULT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68189-2021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46221</v>
      </c>
      <c r="F522" t="inlineStr">
        <is>
          <t>KRONOBERGS LÄN</t>
        </is>
      </c>
      <c r="G522" t="inlineStr">
        <is>
          <t>ÄLMHULT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46221</v>
      </c>
      <c r="F523" t="inlineStr">
        <is>
          <t>KRONOBERGS LÄN</t>
        </is>
      </c>
      <c r="G523" t="inlineStr">
        <is>
          <t>ÄLMHULT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29642-2026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46221</v>
      </c>
      <c r="F524" t="inlineStr">
        <is>
          <t>KRONOBERGS LÄN</t>
        </is>
      </c>
      <c r="G524" t="inlineStr">
        <is>
          <t>ÄLMHULT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9353-2024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46221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46221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29775-2026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46221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14425-2023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45012</v>
      </c>
      <c r="E528" s="1" t="n">
        <v>46221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29636-2026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46221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44687</v>
      </c>
      <c r="E530" s="1" t="n">
        <v>46221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46221</v>
      </c>
      <c r="F531" t="inlineStr">
        <is>
          <t>KRONOBERGS LÄN</t>
        </is>
      </c>
      <c r="G531" t="inlineStr">
        <is>
          <t>ÄLMHULT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24333-2023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45081</v>
      </c>
      <c r="E532" s="1" t="n">
        <v>46221</v>
      </c>
      <c r="F532" t="inlineStr">
        <is>
          <t>KRONOBERGS LÄN</t>
        </is>
      </c>
      <c r="G532" t="inlineStr">
        <is>
          <t>ÄLMHULT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46221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14282-2023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45010</v>
      </c>
      <c r="E534" s="1" t="n">
        <v>46221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19063-2023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46221</v>
      </c>
      <c r="F535" t="inlineStr">
        <is>
          <t>KRONOBERGS LÄN</t>
        </is>
      </c>
      <c r="G535" t="inlineStr">
        <is>
          <t>ÄLMHULT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42014-2023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46221</v>
      </c>
      <c r="F536" t="inlineStr">
        <is>
          <t>KRONOBERGS LÄN</t>
        </is>
      </c>
      <c r="G536" t="inlineStr">
        <is>
          <t>ÄLMHULT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45042</v>
      </c>
      <c r="E537" s="1" t="n">
        <v>46221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63115-2023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46221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46221</v>
      </c>
      <c r="F539" t="inlineStr">
        <is>
          <t>KRONOBERGS LÄN</t>
        </is>
      </c>
      <c r="G539" t="inlineStr">
        <is>
          <t>ÄLMHULT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13801-2024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46221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12093-2025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45728</v>
      </c>
      <c r="E541" s="1" t="n">
        <v>46221</v>
      </c>
      <c r="F541" t="inlineStr">
        <is>
          <t>KRONOBERGS LÄN</t>
        </is>
      </c>
      <c r="G541" t="inlineStr">
        <is>
          <t>ÄLMHULT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33944-2023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45134</v>
      </c>
      <c r="E542" s="1" t="n">
        <v>46221</v>
      </c>
      <c r="F542" t="inlineStr">
        <is>
          <t>KRONOBERGS LÄN</t>
        </is>
      </c>
      <c r="G542" t="inlineStr">
        <is>
          <t>ÄLMHULT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27863-2022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44743</v>
      </c>
      <c r="E543" s="1" t="n">
        <v>46221</v>
      </c>
      <c r="F543" t="inlineStr">
        <is>
          <t>KRONOBERGS LÄN</t>
        </is>
      </c>
      <c r="G543" t="inlineStr">
        <is>
          <t>ÄLMHULT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46221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8434-2023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44977</v>
      </c>
      <c r="E545" s="1" t="n">
        <v>46221</v>
      </c>
      <c r="F545" t="inlineStr">
        <is>
          <t>KRONOBERGS LÄN</t>
        </is>
      </c>
      <c r="G545" t="inlineStr">
        <is>
          <t>ÄLMHULT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11594-2024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46221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11597-2024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46221</v>
      </c>
      <c r="F547" t="inlineStr">
        <is>
          <t>KRONOBERGS LÄN</t>
        </is>
      </c>
      <c r="G547" t="inlineStr">
        <is>
          <t>ÄLMHULT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56955-2024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45628</v>
      </c>
      <c r="E548" s="1" t="n">
        <v>46221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45311</v>
      </c>
      <c r="E549" s="1" t="n">
        <v>46221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20964-2023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45061</v>
      </c>
      <c r="E550" s="1" t="n">
        <v>46221</v>
      </c>
      <c r="F550" t="inlineStr">
        <is>
          <t>KRONOBERGS LÄN</t>
        </is>
      </c>
      <c r="G550" t="inlineStr">
        <is>
          <t>ÄLMHULT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59631-2024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45638</v>
      </c>
      <c r="E551" s="1" t="n">
        <v>46221</v>
      </c>
      <c r="F551" t="inlineStr">
        <is>
          <t>KRONOBERGS LÄN</t>
        </is>
      </c>
      <c r="G551" t="inlineStr">
        <is>
          <t>ÄLMHULT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59585-2024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46221</v>
      </c>
      <c r="F552" t="inlineStr">
        <is>
          <t>KRONOBERGS LÄN</t>
        </is>
      </c>
      <c r="G552" t="inlineStr">
        <is>
          <t>ÄLMHULT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46221</v>
      </c>
      <c r="F553" t="inlineStr">
        <is>
          <t>KRONOBERGS LÄN</t>
        </is>
      </c>
      <c r="G553" t="inlineStr">
        <is>
          <t>ÄLMHULT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53203-2024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45612</v>
      </c>
      <c r="E554" s="1" t="n">
        <v>46221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46221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46221</v>
      </c>
      <c r="F556" t="inlineStr">
        <is>
          <t>KRONOBERGS LÄN</t>
        </is>
      </c>
      <c r="G556" t="inlineStr">
        <is>
          <t>ÄLMHULT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29753-2026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46221</v>
      </c>
      <c r="F557" t="inlineStr">
        <is>
          <t>KRONOBERGS LÄN</t>
        </is>
      </c>
      <c r="G557" t="inlineStr">
        <is>
          <t>ÄLMHULT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24248-2026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46221</v>
      </c>
      <c r="F558" t="inlineStr">
        <is>
          <t>KRONOBERGS LÄN</t>
        </is>
      </c>
      <c r="G558" t="inlineStr">
        <is>
          <t>ÄLMHULT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44942</v>
      </c>
      <c r="E559" s="1" t="n">
        <v>46221</v>
      </c>
      <c r="F559" t="inlineStr">
        <is>
          <t>KRONOBERGS LÄN</t>
        </is>
      </c>
      <c r="G559" t="inlineStr">
        <is>
          <t>ÄLMHULT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50805-2025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46221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46221</v>
      </c>
      <c r="F561" t="inlineStr">
        <is>
          <t>KRONOBERGS LÄN</t>
        </is>
      </c>
      <c r="G561" t="inlineStr">
        <is>
          <t>ÄLMHULT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31104-2026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46221</v>
      </c>
      <c r="F562" t="inlineStr">
        <is>
          <t>KRONOBERGS LÄN</t>
        </is>
      </c>
      <c r="G562" t="inlineStr">
        <is>
          <t>ÄLMHULT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6648-2025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45700</v>
      </c>
      <c r="E563" s="1" t="n">
        <v>46221</v>
      </c>
      <c r="F563" t="inlineStr">
        <is>
          <t>KRONOBERGS LÄN</t>
        </is>
      </c>
      <c r="G563" t="inlineStr">
        <is>
          <t>ÄLMHULT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61971-2024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46221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46221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43467-2025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46221</v>
      </c>
      <c r="F566" t="inlineStr">
        <is>
          <t>KRONOBERGS LÄN</t>
        </is>
      </c>
      <c r="G566" t="inlineStr">
        <is>
          <t>ÄLMHULT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31111-2026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46221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45303</v>
      </c>
      <c r="E568" s="1" t="n">
        <v>46221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49562-2023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46221</v>
      </c>
      <c r="F569" t="inlineStr">
        <is>
          <t>KRONOBERGS LÄN</t>
        </is>
      </c>
      <c r="G569" t="inlineStr">
        <is>
          <t>ÄLMHULT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14280-2023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45010</v>
      </c>
      <c r="E570" s="1" t="n">
        <v>46221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46221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31113-2026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46221</v>
      </c>
      <c r="F572" t="inlineStr">
        <is>
          <t>KRONOBERGS LÄN</t>
        </is>
      </c>
      <c r="G572" t="inlineStr">
        <is>
          <t>ÄLMHULT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7968-2025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46221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46221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31103-2026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46221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30996-2026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46221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46221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46221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46221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46221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46221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46221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46221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46221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46221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46221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46221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46221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46221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46221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46221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46221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46221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46221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46221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46221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46221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46221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46221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46221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46221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46221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46221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46221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46221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46221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46221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46221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46221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46221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46221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46221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48026-2024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45589</v>
      </c>
      <c r="E613" s="1" t="n">
        <v>46221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46221</v>
      </c>
      <c r="F614" t="inlineStr">
        <is>
          <t>KRONOBERGS LÄN</t>
        </is>
      </c>
      <c r="G614" t="inlineStr">
        <is>
          <t>ÄLMHULT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24638-2024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45460</v>
      </c>
      <c r="E615" s="1" t="n">
        <v>46221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15988-2024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45405</v>
      </c>
      <c r="E616" s="1" t="n">
        <v>46221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7143-2025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45702</v>
      </c>
      <c r="E617" s="1" t="n">
        <v>46221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45663</v>
      </c>
      <c r="E618" s="1" t="n">
        <v>46221</v>
      </c>
      <c r="F618" t="inlineStr">
        <is>
          <t>KRONOBERGS LÄN</t>
        </is>
      </c>
      <c r="G618" t="inlineStr">
        <is>
          <t>ÄLMHULT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64618-2021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44511</v>
      </c>
      <c r="E619" s="1" t="n">
        <v>46221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64624-2021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44511</v>
      </c>
      <c r="E620" s="1" t="n">
        <v>46221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46221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46221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46221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46221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46221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6219-2021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44447</v>
      </c>
      <c r="E626" s="1" t="n">
        <v>46221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46221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106-2024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45302</v>
      </c>
      <c r="E628" s="1" t="n">
        <v>46221</v>
      </c>
      <c r="F628" t="inlineStr">
        <is>
          <t>KRONOBERGS LÄN</t>
        </is>
      </c>
      <c r="G628" t="inlineStr">
        <is>
          <t>ÄLMHULT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2570-2024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45476</v>
      </c>
      <c r="E629" s="1" t="n">
        <v>46221</v>
      </c>
      <c r="F629" t="inlineStr">
        <is>
          <t>KRONOBERGS LÄN</t>
        </is>
      </c>
      <c r="G629" t="inlineStr">
        <is>
          <t>ÄLMHULT</t>
        </is>
      </c>
      <c r="I629" t="n">
        <v>27.8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5163-2024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45649</v>
      </c>
      <c r="E630" s="1" t="n">
        <v>46221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786-2025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45728</v>
      </c>
      <c r="E631" s="1" t="n">
        <v>46221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3003-2025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45953</v>
      </c>
      <c r="E632" s="1" t="n">
        <v>46221</v>
      </c>
      <c r="F632" t="inlineStr">
        <is>
          <t>KRONOBERGS LÄN</t>
        </is>
      </c>
      <c r="G632" t="inlineStr">
        <is>
          <t>ÄLMHULT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3102-2025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45967</v>
      </c>
      <c r="E633" s="1" t="n">
        <v>46221</v>
      </c>
      <c r="F633" t="inlineStr">
        <is>
          <t>KRONOBERGS LÄN</t>
        </is>
      </c>
      <c r="G633" t="inlineStr">
        <is>
          <t>ÄLMHULT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3553-2025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46221</v>
      </c>
      <c r="F634" t="inlineStr">
        <is>
          <t>KRONOBERGS LÄN</t>
        </is>
      </c>
      <c r="G634" t="inlineStr">
        <is>
          <t>ÄLMHULT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3552-2025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46221</v>
      </c>
      <c r="F635" t="inlineStr">
        <is>
          <t>KRONOBERGS LÄN</t>
        </is>
      </c>
      <c r="G635" t="inlineStr">
        <is>
          <t>ÄLMHULT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37-2026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46029</v>
      </c>
      <c r="E636" s="1" t="n">
        <v>46221</v>
      </c>
      <c r="F636" t="inlineStr">
        <is>
          <t>KRONOBERGS LÄN</t>
        </is>
      </c>
      <c r="G636" t="inlineStr">
        <is>
          <t>ÄLMHULT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532-2026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46079</v>
      </c>
      <c r="E637" s="1" t="n">
        <v>46221</v>
      </c>
      <c r="F637" t="inlineStr">
        <is>
          <t>KRONOBERGS LÄN</t>
        </is>
      </c>
      <c r="G637" t="inlineStr">
        <is>
          <t>ÄLMHULT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743-2026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46094</v>
      </c>
      <c r="E638" s="1" t="n">
        <v>46221</v>
      </c>
      <c r="F638" t="inlineStr">
        <is>
          <t>KRONOBERGS LÄN</t>
        </is>
      </c>
      <c r="G638" t="inlineStr">
        <is>
          <t>ÄLMHULT</t>
        </is>
      </c>
      <c r="I638" t="n">
        <v>61.7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>
      <c r="A639" t="inlineStr">
        <is>
          <t>S 986-2026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46119</v>
      </c>
      <c r="E639" s="1" t="n">
        <v>46221</v>
      </c>
      <c r="F639" t="inlineStr">
        <is>
          <t>KRONOBERGS LÄN</t>
        </is>
      </c>
      <c r="G639" t="inlineStr">
        <is>
          <t>ÄLMHULT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2026-07-18T01:21:57Z</dcterms:created>
  <dcterms:modified xmlns:dcterms="http://purl.org/dc/terms/" xmlns:xsi="http://www.w3.org/2001/XMLSchema-instance" xsi:type="dcterms:W3CDTF">2026-07-18T01:21:57Z</dcterms:modified>
</cp:coreProperties>
</file>