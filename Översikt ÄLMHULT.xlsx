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46251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41957-2022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44830</v>
      </c>
      <c r="E10" s="1" t="n">
        <v>46251</v>
      </c>
      <c r="F10" t="inlineStr">
        <is>
          <t>KRONOBERGS LÄN</t>
        </is>
      </c>
      <c r="G10" t="inlineStr">
        <is>
          <t>ÄLMHULT</t>
        </is>
      </c>
      <c r="I10" t="n">
        <v>3.2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Linmåra/småsnärjmåra
Fläcknycklar</t>
        </is>
      </c>
      <c r="W10">
        <f>HYPERLINK("https://klasma.github.io/Logging_0765/artfynd/A 41957-2022 artfynd.xlsx", "A 41957-2022")</f>
        <v/>
      </c>
      <c r="X10">
        <f>HYPERLINK("https://klasma.github.io/Logging_0765/kartor/A 41957-2022 karta.png", "A 41957-2022")</f>
        <v/>
      </c>
      <c r="Y10">
        <f>HYPERLINK("https://klasma.github.io/Logging_0765/kartor_geotiff/A 41957-2022 georefererad karta.tif", "A 41957-2022")</f>
        <v/>
      </c>
      <c r="AA10">
        <f>HYPERLINK("https://klasma.github.io/Logging_0765/klagomål/A 41957-2022 FSC-klagomål.docx", "A 41957-2022")</f>
        <v/>
      </c>
      <c r="AB10">
        <f>HYPERLINK("https://klasma.github.io/Logging_0765/klagomålsmail/A 41957-2022 FSC-klagomål mail.docx", "A 41957-2022")</f>
        <v/>
      </c>
      <c r="AC10">
        <f>HYPERLINK("https://klasma.github.io/Logging_0765/tillsyn/A 41957-2022 tillsynsbegäran.docx", "A 41957-2022")</f>
        <v/>
      </c>
      <c r="AD10">
        <f>HYPERLINK("https://klasma.github.io/Logging_0765/tillsynsmail/A 41957-2022 tillsynsbegäran mail.docx", "A 41957-2022")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46251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46251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46251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55971-2022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46251</v>
      </c>
      <c r="F14" t="inlineStr">
        <is>
          <t>KRONOBERGS LÄN</t>
        </is>
      </c>
      <c r="G14" t="inlineStr">
        <is>
          <t>ÄLMHULT</t>
        </is>
      </c>
      <c r="I14" t="n">
        <v>0.5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Gulsparv
Trädlärka</t>
        </is>
      </c>
      <c r="W14">
        <f>HYPERLINK("https://klasma.github.io/Logging_0765/artfynd/A 55971-2022 artfynd.xlsx", "A 55971-2022")</f>
        <v/>
      </c>
      <c r="X14">
        <f>HYPERLINK("https://klasma.github.io/Logging_0765/kartor/A 55971-2022 karta.png", "A 55971-2022")</f>
        <v/>
      </c>
      <c r="Y14">
        <f>HYPERLINK("https://klasma.github.io/Logging_0765/kartor_geotiff/A 55971-2022 georefererad karta.tif", "A 55971-2022")</f>
        <v/>
      </c>
      <c r="AA14">
        <f>HYPERLINK("https://klasma.github.io/Logging_0765/klagomål/A 55971-2022 FSC-klagomål.docx", "A 55971-2022")</f>
        <v/>
      </c>
      <c r="AB14">
        <f>HYPERLINK("https://klasma.github.io/Logging_0765/klagomålsmail/A 55971-2022 FSC-klagomål mail.docx", "A 55971-2022")</f>
        <v/>
      </c>
      <c r="AC14">
        <f>HYPERLINK("https://klasma.github.io/Logging_0765/tillsyn/A 55971-2022 tillsynsbegäran.docx", "A 55971-2022")</f>
        <v/>
      </c>
      <c r="AD14">
        <f>HYPERLINK("https://klasma.github.io/Logging_0765/tillsynsmail/A 55971-2022 tillsynsbegäran mail.docx", "A 55971-2022")</f>
        <v/>
      </c>
      <c r="AE14">
        <f>HYPERLINK("https://klasma.github.io/Logging_0765/fåglar/A 55971-2022 prioriterade fågelarter.docx", "A 55971-2022")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46251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46251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46251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46251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46251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41419-2021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46251</v>
      </c>
      <c r="F20" t="inlineStr">
        <is>
          <t>KRONOBERGS LÄN</t>
        </is>
      </c>
      <c r="G20" t="inlineStr">
        <is>
          <t>ÄLMHULT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Sommarfibbla</t>
        </is>
      </c>
      <c r="W20">
        <f>HYPERLINK("https://klasma.github.io/Logging_0765/artfynd/A 41419-2021 artfynd.xlsx", "A 41419-2021")</f>
        <v/>
      </c>
      <c r="X20">
        <f>HYPERLINK("https://klasma.github.io/Logging_0765/kartor/A 41419-2021 karta.png", "A 41419-2021")</f>
        <v/>
      </c>
      <c r="Y20">
        <f>HYPERLINK("https://klasma.github.io/Logging_0765/kartor_geotiff/A 41419-2021 georefererad karta.tif", "A 41419-2021")</f>
        <v/>
      </c>
      <c r="AA20">
        <f>HYPERLINK("https://klasma.github.io/Logging_0765/klagomål/A 41419-2021 FSC-klagomål.docx", "A 41419-2021")</f>
        <v/>
      </c>
      <c r="AB20">
        <f>HYPERLINK("https://klasma.github.io/Logging_0765/klagomålsmail/A 41419-2021 FSC-klagomål mail.docx", "A 41419-2021")</f>
        <v/>
      </c>
      <c r="AC20">
        <f>HYPERLINK("https://klasma.github.io/Logging_0765/tillsyn/A 41419-2021 tillsynsbegäran.docx", "A 41419-2021")</f>
        <v/>
      </c>
      <c r="AD20">
        <f>HYPERLINK("https://klasma.github.io/Logging_0765/tillsynsmail/A 41419-2021 tillsynsbegäran mail.docx", "A 41419-2021")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46251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10199-2025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46251</v>
      </c>
      <c r="F22" t="inlineStr">
        <is>
          <t>KRONOBERGS LÄN</t>
        </is>
      </c>
      <c r="G22" t="inlineStr">
        <is>
          <t>ÄLMHULT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HYPERLINK("https://klasma.github.io/Logging_0765/artfynd/A 10199-2025 artfynd.xlsx", "A 10199-2025")</f>
        <v/>
      </c>
      <c r="X22">
        <f>HYPERLINK("https://klasma.github.io/Logging_0765/kartor/A 10199-2025 karta.png", "A 10199-2025")</f>
        <v/>
      </c>
      <c r="Y22">
        <f>HYPERLINK("https://klasma.github.io/Logging_0765/kartor_geotiff/A 10199-2025 georefererad karta.tif", "A 10199-2025")</f>
        <v/>
      </c>
      <c r="AA22">
        <f>HYPERLINK("https://klasma.github.io/Logging_0765/klagomål/A 10199-2025 FSC-klagomål.docx", "A 10199-2025")</f>
        <v/>
      </c>
      <c r="AB22">
        <f>HYPERLINK("https://klasma.github.io/Logging_0765/klagomålsmail/A 10199-2025 FSC-klagomål mail.docx", "A 10199-2025")</f>
        <v/>
      </c>
      <c r="AC22">
        <f>HYPERLINK("https://klasma.github.io/Logging_0765/tillsyn/A 10199-2025 tillsynsbegäran.docx", "A 10199-2025")</f>
        <v/>
      </c>
      <c r="AD22">
        <f>HYPERLINK("https://klasma.github.io/Logging_0765/tillsynsmail/A 10199-2025 tillsynsbegäran mail.docx", "A 10199-2025")</f>
        <v/>
      </c>
    </row>
    <row r="23" ht="15" customHeight="1">
      <c r="A23" t="inlineStr">
        <is>
          <t>A 39106-2025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45888</v>
      </c>
      <c r="E23" s="1" t="n">
        <v>46251</v>
      </c>
      <c r="F23" t="inlineStr">
        <is>
          <t>KRONOBERGS LÄN</t>
        </is>
      </c>
      <c r="G23" t="inlineStr">
        <is>
          <t>ÄLMHULT</t>
        </is>
      </c>
      <c r="I23" t="n">
        <v>2.8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Strandjordtunga</t>
        </is>
      </c>
      <c r="W23">
        <f>HYPERLINK("https://klasma.github.io/Logging_0765/artfynd/A 39106-2025 artfynd.xlsx", "A 39106-2025")</f>
        <v/>
      </c>
      <c r="X23">
        <f>HYPERLINK("https://klasma.github.io/Logging_0765/kartor/A 39106-2025 karta.png", "A 39106-2025")</f>
        <v/>
      </c>
      <c r="Y23">
        <f>HYPERLINK("https://klasma.github.io/Logging_0765/kartor_geotiff/A 39106-2025 georefererad karta.tif", "A 39106-2025")</f>
        <v/>
      </c>
      <c r="AA23">
        <f>HYPERLINK("https://klasma.github.io/Logging_0765/klagomål/A 39106-2025 FSC-klagomål.docx", "A 39106-2025")</f>
        <v/>
      </c>
      <c r="AB23">
        <f>HYPERLINK("https://klasma.github.io/Logging_0765/klagomålsmail/A 39106-2025 FSC-klagomål mail.docx", "A 39106-2025")</f>
        <v/>
      </c>
      <c r="AC23">
        <f>HYPERLINK("https://klasma.github.io/Logging_0765/tillsyn/A 39106-2025 tillsynsbegäran.docx", "A 39106-2025")</f>
        <v/>
      </c>
      <c r="AD23">
        <f>HYPERLINK("https://klasma.github.io/Logging_0765/tillsynsmail/A 39106-2025 tillsynsbegäran mail.docx", "A 39106-2025")</f>
        <v/>
      </c>
    </row>
    <row r="24" ht="15" customHeight="1">
      <c r="A24" t="inlineStr">
        <is>
          <t>A 41717-2024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46251</v>
      </c>
      <c r="F24" t="inlineStr">
        <is>
          <t>KRONOBERGS LÄN</t>
        </is>
      </c>
      <c r="G24" t="inlineStr">
        <is>
          <t>ÄLMHULT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HYPERLINK("https://klasma.github.io/Logging_0765/artfynd/A 41717-2024 artfynd.xlsx", "A 41717-2024")</f>
        <v/>
      </c>
      <c r="X24">
        <f>HYPERLINK("https://klasma.github.io/Logging_0765/kartor/A 41717-2024 karta.png", "A 41717-2024")</f>
        <v/>
      </c>
      <c r="Y24">
        <f>HYPERLINK("https://klasma.github.io/Logging_0765/kartor_geotiff/A 41717-2024 georefererad karta.tif", "A 41717-2024")</f>
        <v/>
      </c>
      <c r="AA24">
        <f>HYPERLINK("https://klasma.github.io/Logging_0765/klagomål/A 41717-2024 FSC-klagomål.docx", "A 41717-2024")</f>
        <v/>
      </c>
      <c r="AB24">
        <f>HYPERLINK("https://klasma.github.io/Logging_0765/klagomålsmail/A 41717-2024 FSC-klagomål mail.docx", "A 41717-2024")</f>
        <v/>
      </c>
      <c r="AC24">
        <f>HYPERLINK("https://klasma.github.io/Logging_0765/tillsyn/A 41717-2024 tillsynsbegäran.docx", "A 41717-2024")</f>
        <v/>
      </c>
      <c r="AD24">
        <f>HYPERLINK("https://klasma.github.io/Logging_0765/tillsynsmail/A 41717-2024 tillsynsbegäran mail.docx", "A 41717-2024")</f>
        <v/>
      </c>
      <c r="AE24">
        <f>HYPERLINK("https://klasma.github.io/Logging_0765/fåglar/A 41717-2024 prioriterade fågelarter.docx", "A 41717-2024")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46251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46251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46251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64296-2023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45280</v>
      </c>
      <c r="E28" s="1" t="n">
        <v>46251</v>
      </c>
      <c r="F28" t="inlineStr">
        <is>
          <t>KRONOBERGS LÄN</t>
        </is>
      </c>
      <c r="G28" t="inlineStr">
        <is>
          <t>ÄLMHULT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Silversmygare</t>
        </is>
      </c>
      <c r="W28">
        <f>HYPERLINK("https://klasma.github.io/Logging_0765/artfynd/A 64296-2023 artfynd.xlsx", "A 64296-2023")</f>
        <v/>
      </c>
      <c r="X28">
        <f>HYPERLINK("https://klasma.github.io/Logging_0765/kartor/A 64296-2023 karta.png", "A 64296-2023")</f>
        <v/>
      </c>
      <c r="Y28">
        <f>HYPERLINK("https://klasma.github.io/Logging_0765/kartor_geotiff/A 64296-2023 georefererad karta.tif", "A 64296-2023")</f>
        <v/>
      </c>
      <c r="AA28">
        <f>HYPERLINK("https://klasma.github.io/Logging_0765/klagomål/A 64296-2023 FSC-klagomål.docx", "A 64296-2023")</f>
        <v/>
      </c>
      <c r="AB28">
        <f>HYPERLINK("https://klasma.github.io/Logging_0765/klagomålsmail/A 64296-2023 FSC-klagomål mail.docx", "A 64296-2023")</f>
        <v/>
      </c>
      <c r="AC28">
        <f>HYPERLINK("https://klasma.github.io/Logging_0765/tillsyn/A 64296-2023 tillsynsbegäran.docx", "A 64296-2023")</f>
        <v/>
      </c>
      <c r="AD28">
        <f>HYPERLINK("https://klasma.github.io/Logging_0765/tillsynsmail/A 64296-2023 tillsynsbegäran mail.docx", "A 64296-2023")</f>
        <v/>
      </c>
    </row>
    <row r="29" ht="15" customHeight="1">
      <c r="A29" t="inlineStr">
        <is>
          <t>A 58048-2024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46251</v>
      </c>
      <c r="F29" t="inlineStr">
        <is>
          <t>KRONOBERGS LÄN</t>
        </is>
      </c>
      <c r="G29" t="inlineStr">
        <is>
          <t>ÄLMHULT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Solvända</t>
        </is>
      </c>
      <c r="W29">
        <f>HYPERLINK("https://klasma.github.io/Logging_0765/artfynd/A 58048-2024 artfynd.xlsx", "A 58048-2024")</f>
        <v/>
      </c>
      <c r="X29">
        <f>HYPERLINK("https://klasma.github.io/Logging_0765/kartor/A 58048-2024 karta.png", "A 58048-2024")</f>
        <v/>
      </c>
      <c r="Y29">
        <f>HYPERLINK("https://klasma.github.io/Logging_0765/kartor_geotiff/A 58048-2024 georefererad karta.tif", "A 58048-2024")</f>
        <v/>
      </c>
      <c r="AA29">
        <f>HYPERLINK("https://klasma.github.io/Logging_0765/klagomål/A 58048-2024 FSC-klagomål.docx", "A 58048-2024")</f>
        <v/>
      </c>
      <c r="AB29">
        <f>HYPERLINK("https://klasma.github.io/Logging_0765/klagomålsmail/A 58048-2024 FSC-klagomål mail.docx", "A 58048-2024")</f>
        <v/>
      </c>
      <c r="AC29">
        <f>HYPERLINK("https://klasma.github.io/Logging_0765/tillsyn/A 58048-2024 tillsynsbegäran.docx", "A 58048-2024")</f>
        <v/>
      </c>
      <c r="AD29">
        <f>HYPERLINK("https://klasma.github.io/Logging_0765/tillsynsmail/A 58048-2024 tillsynsbegäran mail.docx", "A 58048-2024")</f>
        <v/>
      </c>
    </row>
    <row r="30" ht="15" customHeight="1">
      <c r="A30" t="inlineStr">
        <is>
          <t>A 50892-2023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46251</v>
      </c>
      <c r="F30" t="inlineStr">
        <is>
          <t>KRONOBERGS LÄN</t>
        </is>
      </c>
      <c r="G30" t="inlineStr">
        <is>
          <t>ÄLMHULT</t>
        </is>
      </c>
      <c r="I30" t="n">
        <v>83.40000000000001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HYPERLINK("https://klasma.github.io/Logging_0765/artfynd/A 50892-2023 artfynd.xlsx", "A 50892-2023")</f>
        <v/>
      </c>
      <c r="X30">
        <f>HYPERLINK("https://klasma.github.io/Logging_0765/kartor/A 50892-2023 karta.png", "A 50892-2023")</f>
        <v/>
      </c>
      <c r="Y30">
        <f>HYPERLINK("https://klasma.github.io/Logging_0765/kartor_geotiff/A 50892-2023 georefererad karta.tif", "A 50892-2023")</f>
        <v/>
      </c>
      <c r="AA30">
        <f>HYPERLINK("https://klasma.github.io/Logging_0765/klagomål/A 50892-2023 FSC-klagomål.docx", "A 50892-2023")</f>
        <v/>
      </c>
      <c r="AB30">
        <f>HYPERLINK("https://klasma.github.io/Logging_0765/klagomålsmail/A 50892-2023 FSC-klagomål mail.docx", "A 50892-2023")</f>
        <v/>
      </c>
      <c r="AC30">
        <f>HYPERLINK("https://klasma.github.io/Logging_0765/tillsyn/A 50892-2023 tillsynsbegäran.docx", "A 50892-2023")</f>
        <v/>
      </c>
      <c r="AD30">
        <f>HYPERLINK("https://klasma.github.io/Logging_0765/tillsynsmail/A 50892-2023 tillsynsbegäran mail.docx", "A 50892-2023")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46251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46251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46251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A 29778-2026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46204</v>
      </c>
      <c r="E34" s="1" t="n">
        <v>46251</v>
      </c>
      <c r="F34" t="inlineStr">
        <is>
          <t>KRONOBERGS LÄN</t>
        </is>
      </c>
      <c r="G34" t="inlineStr">
        <is>
          <t>ÄLMHULT</t>
        </is>
      </c>
      <c r="I34" t="n">
        <v>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HYPERLINK("https://klasma.github.io/Logging_0765/artfynd/A 29778-2026 artfynd.xlsx", "A 29778-2026")</f>
        <v/>
      </c>
      <c r="X34">
        <f>HYPERLINK("https://klasma.github.io/Logging_0765/kartor/A 29778-2026 karta.png", "A 29778-2026")</f>
        <v/>
      </c>
      <c r="Y34">
        <f>HYPERLINK("https://klasma.github.io/Logging_0765/kartor_geotiff/A 29778-2026 georefererad karta.tif", "A 29778-2026")</f>
        <v/>
      </c>
      <c r="AA34">
        <f>HYPERLINK("https://klasma.github.io/Logging_0765/klagomål/A 29778-2026 FSC-klagomål.docx", "A 29778-2026")</f>
        <v/>
      </c>
      <c r="AB34">
        <f>HYPERLINK("https://klasma.github.io/Logging_0765/klagomålsmail/A 29778-2026 FSC-klagomål mail.docx", "A 29778-2026")</f>
        <v/>
      </c>
      <c r="AC34">
        <f>HYPERLINK("https://klasma.github.io/Logging_0765/tillsyn/A 29778-2026 tillsynsbegäran.docx", "A 29778-2026")</f>
        <v/>
      </c>
      <c r="AD34">
        <f>HYPERLINK("https://klasma.github.io/Logging_0765/tillsynsmail/A 29778-2026 tillsynsbegäran mail.docx", "A 29778-2026")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46251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Borsttåg</t>
        </is>
      </c>
      <c r="W35">
        <f>HYPERLINK("https://klasma.github.io/Logging_0765/artfynd/S 6203-2022 artfynd.xlsx", "S 6203-2022")</f>
        <v/>
      </c>
      <c r="X35">
        <f>HYPERLINK("https://klasma.github.io/Logging_0765/kartor/S 6203-2022 karta.png", "S 6203-2022")</f>
        <v/>
      </c>
      <c r="Y35">
        <f>HYPERLINK("https://klasma.github.io/Logging_0765/kartor_geotiff/S 6203-2022 georefererad karta.tif", "S 6203-2022")</f>
        <v/>
      </c>
      <c r="AA35">
        <f>HYPERLINK("https://klasma.github.io/Logging_0765/klagomål/S 6203-2022 FSC-klagomål.docx", "S 6203-2022")</f>
        <v/>
      </c>
      <c r="AB35">
        <f>HYPERLINK("https://klasma.github.io/Logging_0765/klagomålsmail/S 6203-2022 FSC-klagomål mail.docx", "S 6203-2022")</f>
        <v/>
      </c>
      <c r="AC35">
        <f>HYPERLINK("https://klasma.github.io/Logging_0765/tillsyn/S 6203-2022 tillsynsbegäran.docx", "S 6203-2022")</f>
        <v/>
      </c>
      <c r="AD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46251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HYPERLINK("https://klasma.github.io/Logging_0765/artfynd/S 1473-2025 artfynd.xlsx", "S 1473-2025")</f>
        <v/>
      </c>
      <c r="X36">
        <f>HYPERLINK("https://klasma.github.io/Logging_0765/kartor/S 1473-2025 karta.png", "S 1473-2025")</f>
        <v/>
      </c>
      <c r="Y36">
        <f>HYPERLINK("https://klasma.github.io/Logging_0765/kartor_geotiff/S 1473-2025 georefererad karta.tif", "S 1473-2025")</f>
        <v/>
      </c>
      <c r="AA36">
        <f>HYPERLINK("https://klasma.github.io/Logging_0765/klagomål/S 1473-2025 FSC-klagomål.docx", "S 1473-2025")</f>
        <v/>
      </c>
      <c r="AB36">
        <f>HYPERLINK("https://klasma.github.io/Logging_0765/klagomålsmail/S 1473-2025 FSC-klagomål mail.docx", "S 1473-2025")</f>
        <v/>
      </c>
      <c r="AC36">
        <f>HYPERLINK("https://klasma.github.io/Logging_0765/tillsyn/S 1473-2025 tillsynsbegäran.docx", "S 1473-2025")</f>
        <v/>
      </c>
      <c r="AD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46251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Borstskölding</t>
        </is>
      </c>
      <c r="W37">
        <f>HYPERLINK("https://klasma.github.io/Logging_0765/artfynd/S 145-2026 artfynd.xlsx", "S 145-2026")</f>
        <v/>
      </c>
      <c r="X37">
        <f>HYPERLINK("https://klasma.github.io/Logging_0765/kartor/S 145-2026 karta.png", "S 145-2026")</f>
        <v/>
      </c>
      <c r="Y37">
        <f>HYPERLINK("https://klasma.github.io/Logging_0765/kartor_geotiff/S 145-2026 georefererad karta.tif", "S 145-2026")</f>
        <v/>
      </c>
      <c r="AA37">
        <f>HYPERLINK("https://klasma.github.io/Logging_0765/klagomål/S 145-2026 FSC-klagomål.docx", "S 145-2026")</f>
        <v/>
      </c>
      <c r="AB37">
        <f>HYPERLINK("https://klasma.github.io/Logging_0765/klagomålsmail/S 145-2026 FSC-klagomål mail.docx", "S 145-2026")</f>
        <v/>
      </c>
      <c r="AC37">
        <f>HYPERLINK("https://klasma.github.io/Logging_0765/tillsyn/S 145-2026 tillsynsbegäran.docx", "S 145-2026")</f>
        <v/>
      </c>
      <c r="AD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46251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46251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46251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46251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46251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46251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46251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46251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46251</v>
      </c>
      <c r="F46" t="inlineStr">
        <is>
          <t>KRONOBERGS LÄN</t>
        </is>
      </c>
      <c r="G46" t="inlineStr">
        <is>
          <t>ÄLMHULT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46251</v>
      </c>
      <c r="F47" t="inlineStr">
        <is>
          <t>KRONOBERGS LÄN</t>
        </is>
      </c>
      <c r="G47" t="inlineStr">
        <is>
          <t>ÄLMHULT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46251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46251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46251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46251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46251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46251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46251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46251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46251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46251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46251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46251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46251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46251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46251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46251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46251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46251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46251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46251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46251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46251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44690</v>
      </c>
      <c r="E70" s="1" t="n">
        <v>46251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46251</v>
      </c>
      <c r="F71" t="inlineStr">
        <is>
          <t>KRONOBERGS LÄN</t>
        </is>
      </c>
      <c r="G71" t="inlineStr">
        <is>
          <t>ÄLMHULT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46251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46251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46251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46251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46251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46251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46251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46251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46251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46251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46251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46251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46251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46251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46251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46251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46251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46251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46251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73366-2021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46251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25812-2022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44733</v>
      </c>
      <c r="E92" s="1" t="n">
        <v>46251</v>
      </c>
      <c r="F92" t="inlineStr">
        <is>
          <t>KRONOBERGS LÄN</t>
        </is>
      </c>
      <c r="G92" t="inlineStr">
        <is>
          <t>ÄLMHULT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46251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46251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46251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46251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46251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46251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46251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46251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46251</v>
      </c>
      <c r="F101" t="inlineStr">
        <is>
          <t>KRONOBERGS LÄN</t>
        </is>
      </c>
      <c r="G101" t="inlineStr">
        <is>
          <t>ÄLMHULT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46251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46251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46251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46251</v>
      </c>
      <c r="F105" t="inlineStr">
        <is>
          <t>KRONOBERGS LÄN</t>
        </is>
      </c>
      <c r="G105" t="inlineStr">
        <is>
          <t>ÄLMHULT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46251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45214</v>
      </c>
      <c r="E107" s="1" t="n">
        <v>46251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46251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46251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46251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46251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46251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46251</v>
      </c>
      <c r="F113" t="inlineStr">
        <is>
          <t>KRONOBERGS LÄN</t>
        </is>
      </c>
      <c r="G113" t="inlineStr">
        <is>
          <t>ÄLMHULT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46251</v>
      </c>
      <c r="F114" t="inlineStr">
        <is>
          <t>KRONOBERGS LÄN</t>
        </is>
      </c>
      <c r="G114" t="inlineStr">
        <is>
          <t>ÄLMHULT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41577-2023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45175</v>
      </c>
      <c r="E115" s="1" t="n">
        <v>46251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45078</v>
      </c>
      <c r="E116" s="1" t="n">
        <v>46251</v>
      </c>
      <c r="F116" t="inlineStr">
        <is>
          <t>KRONOBERGS LÄN</t>
        </is>
      </c>
      <c r="G116" t="inlineStr">
        <is>
          <t>ÄLMHULT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46251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46251</v>
      </c>
      <c r="F118" t="inlineStr">
        <is>
          <t>KRONOBERGS LÄN</t>
        </is>
      </c>
      <c r="G118" t="inlineStr">
        <is>
          <t>ÄLMHULT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54969-2021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46251</v>
      </c>
      <c r="F119" t="inlineStr">
        <is>
          <t>KRONOBERGS LÄN</t>
        </is>
      </c>
      <c r="G119" t="inlineStr">
        <is>
          <t>ÄLMHULT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46251</v>
      </c>
      <c r="F120" t="inlineStr">
        <is>
          <t>KRONOBERGS LÄN</t>
        </is>
      </c>
      <c r="G120" t="inlineStr">
        <is>
          <t>ÄLMHULT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46251</v>
      </c>
      <c r="F121" t="inlineStr">
        <is>
          <t>KRONOBERGS LÄN</t>
        </is>
      </c>
      <c r="G121" t="inlineStr">
        <is>
          <t>ÄLMHULT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54363-2023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45233</v>
      </c>
      <c r="E122" s="1" t="n">
        <v>46251</v>
      </c>
      <c r="F122" t="inlineStr">
        <is>
          <t>KRONOBERGS LÄN</t>
        </is>
      </c>
      <c r="G122" t="inlineStr">
        <is>
          <t>ÄLMHULT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46251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54364-2023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45233</v>
      </c>
      <c r="E124" s="1" t="n">
        <v>46251</v>
      </c>
      <c r="F124" t="inlineStr">
        <is>
          <t>KRONOBERGS LÄN</t>
        </is>
      </c>
      <c r="G124" t="inlineStr">
        <is>
          <t>ÄLMHULT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46251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46251</v>
      </c>
      <c r="F126" t="inlineStr">
        <is>
          <t>KRONOBERGS LÄN</t>
        </is>
      </c>
      <c r="G126" t="inlineStr">
        <is>
          <t>ÄLMHULT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46251</v>
      </c>
      <c r="F127" t="inlineStr">
        <is>
          <t>KRONOBERGS LÄN</t>
        </is>
      </c>
      <c r="G127" t="inlineStr">
        <is>
          <t>ÄLMHULT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46251</v>
      </c>
      <c r="F128" t="inlineStr">
        <is>
          <t>KRONOBERGS LÄN</t>
        </is>
      </c>
      <c r="G128" t="inlineStr">
        <is>
          <t>ÄLMHULT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44643</v>
      </c>
      <c r="E129" s="1" t="n">
        <v>46251</v>
      </c>
      <c r="F129" t="inlineStr">
        <is>
          <t>KRONOBERGS LÄN</t>
        </is>
      </c>
      <c r="G129" t="inlineStr">
        <is>
          <t>ÄLMHULT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46251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46251</v>
      </c>
      <c r="F131" t="inlineStr">
        <is>
          <t>KRONOBERGS LÄN</t>
        </is>
      </c>
      <c r="G131" t="inlineStr">
        <is>
          <t>ÄLMHULT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28026-2024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45476</v>
      </c>
      <c r="E132" s="1" t="n">
        <v>46251</v>
      </c>
      <c r="F132" t="inlineStr">
        <is>
          <t>KRONOBERGS LÄN</t>
        </is>
      </c>
      <c r="G132" t="inlineStr">
        <is>
          <t>ÄLMHULT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46251</v>
      </c>
      <c r="F133" t="inlineStr">
        <is>
          <t>KRONOBERGS LÄN</t>
        </is>
      </c>
      <c r="G133" t="inlineStr">
        <is>
          <t>ÄLMHULT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45529</v>
      </c>
      <c r="E134" s="1" t="n">
        <v>46251</v>
      </c>
      <c r="F134" t="inlineStr">
        <is>
          <t>KRONOBERGS LÄN</t>
        </is>
      </c>
      <c r="G134" t="inlineStr">
        <is>
          <t>ÄLMHULT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11014-2023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44986</v>
      </c>
      <c r="E135" s="1" t="n">
        <v>46251</v>
      </c>
      <c r="F135" t="inlineStr">
        <is>
          <t>KRONOBERGS LÄN</t>
        </is>
      </c>
      <c r="G135" t="inlineStr">
        <is>
          <t>ÄLMHULT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46251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46251</v>
      </c>
      <c r="F137" t="inlineStr">
        <is>
          <t>KRONOBERGS LÄN</t>
        </is>
      </c>
      <c r="G137" t="inlineStr">
        <is>
          <t>ÄLMHULT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46251</v>
      </c>
      <c r="F138" t="inlineStr">
        <is>
          <t>KRONOBERGS LÄN</t>
        </is>
      </c>
      <c r="G138" t="inlineStr">
        <is>
          <t>ÄLMHULT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44657</v>
      </c>
      <c r="E139" s="1" t="n">
        <v>46251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45309</v>
      </c>
      <c r="E140" s="1" t="n">
        <v>46251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46251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45286</v>
      </c>
      <c r="E142" s="1" t="n">
        <v>46251</v>
      </c>
      <c r="F142" t="inlineStr">
        <is>
          <t>KRONOBERGS LÄN</t>
        </is>
      </c>
      <c r="G142" t="inlineStr">
        <is>
          <t>ÄLMHULT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46251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45612</v>
      </c>
      <c r="E144" s="1" t="n">
        <v>46251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44433</v>
      </c>
      <c r="E145" s="1" t="n">
        <v>46251</v>
      </c>
      <c r="F145" t="inlineStr">
        <is>
          <t>KRONOBERGS LÄN</t>
        </is>
      </c>
      <c r="G145" t="inlineStr">
        <is>
          <t>ÄLMHULT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46251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44962</v>
      </c>
      <c r="E147" s="1" t="n">
        <v>46251</v>
      </c>
      <c r="F147" t="inlineStr">
        <is>
          <t>KRONOBERGS LÄN</t>
        </is>
      </c>
      <c r="G147" t="inlineStr">
        <is>
          <t>ÄLMHULT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46251</v>
      </c>
      <c r="F148" t="inlineStr">
        <is>
          <t>KRONOBERGS LÄN</t>
        </is>
      </c>
      <c r="G148" t="inlineStr">
        <is>
          <t>ÄLMHULT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46251</v>
      </c>
      <c r="F149" t="inlineStr">
        <is>
          <t>KRONOBERGS LÄN</t>
        </is>
      </c>
      <c r="G149" t="inlineStr">
        <is>
          <t>ÄLMHULT</t>
        </is>
      </c>
      <c r="H149" t="inlineStr">
        <is>
          <t>Sveaskog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46251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46251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46251</v>
      </c>
      <c r="F152" t="inlineStr">
        <is>
          <t>KRONOBERGS LÄN</t>
        </is>
      </c>
      <c r="G152" t="inlineStr">
        <is>
          <t>ÄLMHULT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46251</v>
      </c>
      <c r="F153" t="inlineStr">
        <is>
          <t>KRONOBERGS LÄN</t>
        </is>
      </c>
      <c r="G153" t="inlineStr">
        <is>
          <t>ÄLMHULT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46251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46251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46251</v>
      </c>
      <c r="F156" t="inlineStr">
        <is>
          <t>KRONOBERGS LÄN</t>
        </is>
      </c>
      <c r="G156" t="inlineStr">
        <is>
          <t>ÄLMHULT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46251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46251</v>
      </c>
      <c r="F158" t="inlineStr">
        <is>
          <t>KRONOBERGS LÄN</t>
        </is>
      </c>
      <c r="G158" t="inlineStr">
        <is>
          <t>ÄLMHULT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46251</v>
      </c>
      <c r="F159" t="inlineStr">
        <is>
          <t>KRONOBERGS LÄN</t>
        </is>
      </c>
      <c r="G159" t="inlineStr">
        <is>
          <t>ÄLMHULT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46251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46251</v>
      </c>
      <c r="F161" t="inlineStr">
        <is>
          <t>KRONOBERGS LÄN</t>
        </is>
      </c>
      <c r="G161" t="inlineStr">
        <is>
          <t>ÄLMHULT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46251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46251</v>
      </c>
      <c r="F163" t="inlineStr">
        <is>
          <t>KRONOBERGS LÄN</t>
        </is>
      </c>
      <c r="G163" t="inlineStr">
        <is>
          <t>ÄLMHULT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46251</v>
      </c>
      <c r="F164" t="inlineStr">
        <is>
          <t>KRONOBERGS LÄN</t>
        </is>
      </c>
      <c r="G164" t="inlineStr">
        <is>
          <t>ÄLMHULT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46251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46251</v>
      </c>
      <c r="F166" t="inlineStr">
        <is>
          <t>KRONOBERGS LÄN</t>
        </is>
      </c>
      <c r="G166" t="inlineStr">
        <is>
          <t>ÄLMHULT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46251</v>
      </c>
      <c r="F167" t="inlineStr">
        <is>
          <t>KRONOBERGS LÄN</t>
        </is>
      </c>
      <c r="G167" t="inlineStr">
        <is>
          <t>ÄLMHULT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46251</v>
      </c>
      <c r="F168" t="inlineStr">
        <is>
          <t>KRONOBERGS LÄN</t>
        </is>
      </c>
      <c r="G168" t="inlineStr">
        <is>
          <t>ÄLMHULT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46251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45716</v>
      </c>
      <c r="E170" s="1" t="n">
        <v>46251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45497</v>
      </c>
      <c r="E171" s="1" t="n">
        <v>46251</v>
      </c>
      <c r="F171" t="inlineStr">
        <is>
          <t>KRONOBERGS LÄN</t>
        </is>
      </c>
      <c r="G171" t="inlineStr">
        <is>
          <t>ÄLMHULT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46251</v>
      </c>
      <c r="F172" t="inlineStr">
        <is>
          <t>KRONOBERGS LÄN</t>
        </is>
      </c>
      <c r="G172" t="inlineStr">
        <is>
          <t>ÄLMHULT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72469-2021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44545</v>
      </c>
      <c r="E173" s="1" t="n">
        <v>46251</v>
      </c>
      <c r="F173" t="inlineStr">
        <is>
          <t>KRONOBERGS LÄN</t>
        </is>
      </c>
      <c r="G173" t="inlineStr">
        <is>
          <t>ÄLMHULT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46251</v>
      </c>
      <c r="F174" t="inlineStr">
        <is>
          <t>KRONOBERGS LÄN</t>
        </is>
      </c>
      <c r="G174" t="inlineStr">
        <is>
          <t>ÄLMHULT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46251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46251</v>
      </c>
      <c r="F176" t="inlineStr">
        <is>
          <t>KRONOBERGS LÄN</t>
        </is>
      </c>
      <c r="G176" t="inlineStr">
        <is>
          <t>ÄLMHULT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46251</v>
      </c>
      <c r="F177" t="inlineStr">
        <is>
          <t>KRONOBERGS LÄN</t>
        </is>
      </c>
      <c r="G177" t="inlineStr">
        <is>
          <t>ÄLMHULT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46251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46251</v>
      </c>
      <c r="F179" t="inlineStr">
        <is>
          <t>KRONOBERGS LÄN</t>
        </is>
      </c>
      <c r="G179" t="inlineStr">
        <is>
          <t>ÄLMHULT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46251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46251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45373</v>
      </c>
      <c r="E182" s="1" t="n">
        <v>46251</v>
      </c>
      <c r="F182" t="inlineStr">
        <is>
          <t>KRONOBERGS LÄN</t>
        </is>
      </c>
      <c r="G182" t="inlineStr">
        <is>
          <t>ÄLMHULT</t>
        </is>
      </c>
      <c r="H182" t="inlineStr">
        <is>
          <t>Sveaskog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46251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46251</v>
      </c>
      <c r="F184" t="inlineStr">
        <is>
          <t>KRONOBERGS LÄN</t>
        </is>
      </c>
      <c r="G184" t="inlineStr">
        <is>
          <t>ÄLMHULT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46251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45435</v>
      </c>
      <c r="E186" s="1" t="n">
        <v>46251</v>
      </c>
      <c r="F186" t="inlineStr">
        <is>
          <t>KRONOBERGS LÄN</t>
        </is>
      </c>
      <c r="G186" t="inlineStr">
        <is>
          <t>ÄLMHULT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46251</v>
      </c>
      <c r="F187" t="inlineStr">
        <is>
          <t>KRONOBERGS LÄN</t>
        </is>
      </c>
      <c r="G187" t="inlineStr">
        <is>
          <t>ÄLMHULT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46251</v>
      </c>
      <c r="F188" t="inlineStr">
        <is>
          <t>KRONOBERGS LÄN</t>
        </is>
      </c>
      <c r="G188" t="inlineStr">
        <is>
          <t>ÄLMHULT</t>
        </is>
      </c>
      <c r="I188" t="n">
        <v>9.6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46251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46251</v>
      </c>
      <c r="F190" t="inlineStr">
        <is>
          <t>KRONOBERGS LÄN</t>
        </is>
      </c>
      <c r="G190" t="inlineStr">
        <is>
          <t>ÄLMHULT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46251</v>
      </c>
      <c r="F191" t="inlineStr">
        <is>
          <t>KRONOBERGS LÄN</t>
        </is>
      </c>
      <c r="G191" t="inlineStr">
        <is>
          <t>ÄLMHULT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69444-2021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46251</v>
      </c>
      <c r="F192" t="inlineStr">
        <is>
          <t>KRONOBERGS LÄN</t>
        </is>
      </c>
      <c r="G192" t="inlineStr">
        <is>
          <t>ÄLMHULT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46251</v>
      </c>
      <c r="F193" t="inlineStr">
        <is>
          <t>KRONOBERGS LÄN</t>
        </is>
      </c>
      <c r="G193" t="inlineStr">
        <is>
          <t>ÄLMHULT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46251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46251</v>
      </c>
      <c r="F195" t="inlineStr">
        <is>
          <t>KRONOBERGS LÄN</t>
        </is>
      </c>
      <c r="G195" t="inlineStr">
        <is>
          <t>ÄLMHULT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45916</v>
      </c>
      <c r="E196" s="1" t="n">
        <v>46251</v>
      </c>
      <c r="F196" t="inlineStr">
        <is>
          <t>KRONOBERGS LÄN</t>
        </is>
      </c>
      <c r="G196" t="inlineStr">
        <is>
          <t>ÄLMHULT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46251</v>
      </c>
      <c r="F197" t="inlineStr">
        <is>
          <t>KRONOBERGS LÄN</t>
        </is>
      </c>
      <c r="G197" t="inlineStr">
        <is>
          <t>ÄLMHULT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46251</v>
      </c>
      <c r="F198" t="inlineStr">
        <is>
          <t>KRONOBERGS LÄN</t>
        </is>
      </c>
      <c r="G198" t="inlineStr">
        <is>
          <t>ÄLMHULT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46251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46251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46251</v>
      </c>
      <c r="F201" t="inlineStr">
        <is>
          <t>KRONOBERGS LÄN</t>
        </is>
      </c>
      <c r="G201" t="inlineStr">
        <is>
          <t>ÄLMHULT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46251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45538</v>
      </c>
      <c r="E203" s="1" t="n">
        <v>46251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45175</v>
      </c>
      <c r="E204" s="1" t="n">
        <v>46251</v>
      </c>
      <c r="F204" t="inlineStr">
        <is>
          <t>KRONOBERGS LÄN</t>
        </is>
      </c>
      <c r="G204" t="inlineStr">
        <is>
          <t>ÄLMHULT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62241-2021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46251</v>
      </c>
      <c r="F205" t="inlineStr">
        <is>
          <t>KRONOBERGS LÄN</t>
        </is>
      </c>
      <c r="G205" t="inlineStr">
        <is>
          <t>ÄLMHULT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44859</v>
      </c>
      <c r="E206" s="1" t="n">
        <v>46251</v>
      </c>
      <c r="F206" t="inlineStr">
        <is>
          <t>KRONOBERGS LÄN</t>
        </is>
      </c>
      <c r="G206" t="inlineStr">
        <is>
          <t>ÄLMHULT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46251</v>
      </c>
      <c r="F207" t="inlineStr">
        <is>
          <t>KRONOBERGS LÄN</t>
        </is>
      </c>
      <c r="G207" t="inlineStr">
        <is>
          <t>ÄLMHULT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46251</v>
      </c>
      <c r="F208" t="inlineStr">
        <is>
          <t>KRONOBERGS LÄN</t>
        </is>
      </c>
      <c r="G208" t="inlineStr">
        <is>
          <t>ÄLMHULT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46251</v>
      </c>
      <c r="F209" t="inlineStr">
        <is>
          <t>KRONOBERGS LÄN</t>
        </is>
      </c>
      <c r="G209" t="inlineStr">
        <is>
          <t>ÄLMHULT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46251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46251</v>
      </c>
      <c r="F211" t="inlineStr">
        <is>
          <t>KRONOBERGS LÄN</t>
        </is>
      </c>
      <c r="G211" t="inlineStr">
        <is>
          <t>ÄLMHULT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46251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46251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46251</v>
      </c>
      <c r="F214" t="inlineStr">
        <is>
          <t>KRONOBERGS LÄN</t>
        </is>
      </c>
      <c r="G214" t="inlineStr">
        <is>
          <t>ÄLMHULT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46251</v>
      </c>
      <c r="F215" t="inlineStr">
        <is>
          <t>KRONOBERGS LÄN</t>
        </is>
      </c>
      <c r="G215" t="inlineStr">
        <is>
          <t>ÄLMHULT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46251</v>
      </c>
      <c r="F216" t="inlineStr">
        <is>
          <t>KRONOBERGS LÄN</t>
        </is>
      </c>
      <c r="G216" t="inlineStr">
        <is>
          <t>ÄLMHULT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46251</v>
      </c>
      <c r="F217" t="inlineStr">
        <is>
          <t>KRONOBERGS LÄN</t>
        </is>
      </c>
      <c r="G217" t="inlineStr">
        <is>
          <t>ÄLMHULT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46251</v>
      </c>
      <c r="F218" t="inlineStr">
        <is>
          <t>KRONOBERGS LÄN</t>
        </is>
      </c>
      <c r="G218" t="inlineStr">
        <is>
          <t>ÄLMHULT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45421</v>
      </c>
      <c r="E219" s="1" t="n">
        <v>46251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46251</v>
      </c>
      <c r="F220" t="inlineStr">
        <is>
          <t>KRONOBERGS LÄN</t>
        </is>
      </c>
      <c r="G220" t="inlineStr">
        <is>
          <t>ÄLMHULT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46251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46251</v>
      </c>
      <c r="F222" t="inlineStr">
        <is>
          <t>KRONOBERGS LÄN</t>
        </is>
      </c>
      <c r="G222" t="inlineStr">
        <is>
          <t>ÄLMHULT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46251</v>
      </c>
      <c r="F223" t="inlineStr">
        <is>
          <t>KRONOBERGS LÄN</t>
        </is>
      </c>
      <c r="G223" t="inlineStr">
        <is>
          <t>ÄLMHULT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46251</v>
      </c>
      <c r="F224" t="inlineStr">
        <is>
          <t>KRONOBERGS LÄN</t>
        </is>
      </c>
      <c r="G224" t="inlineStr">
        <is>
          <t>ÄLMHULT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60690-2021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46251</v>
      </c>
      <c r="F225" t="inlineStr">
        <is>
          <t>KRONOBERGS LÄN</t>
        </is>
      </c>
      <c r="G225" t="inlineStr">
        <is>
          <t>ÄLMHULT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46251</v>
      </c>
      <c r="F226" t="inlineStr">
        <is>
          <t>KRONOBERGS LÄN</t>
        </is>
      </c>
      <c r="G226" t="inlineStr">
        <is>
          <t>ÄLMHULT</t>
        </is>
      </c>
      <c r="I226" t="n">
        <v>29.1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45051</v>
      </c>
      <c r="E227" s="1" t="n">
        <v>46251</v>
      </c>
      <c r="F227" t="inlineStr">
        <is>
          <t>KRONOBERGS LÄN</t>
        </is>
      </c>
      <c r="G227" t="inlineStr">
        <is>
          <t>ÄLMHULT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46251</v>
      </c>
      <c r="F228" t="inlineStr">
        <is>
          <t>KRONOBERGS LÄN</t>
        </is>
      </c>
      <c r="G228" t="inlineStr">
        <is>
          <t>ÄLMHULT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45947</v>
      </c>
      <c r="E229" s="1" t="n">
        <v>46251</v>
      </c>
      <c r="F229" t="inlineStr">
        <is>
          <t>KRONOBERGS LÄN</t>
        </is>
      </c>
      <c r="G229" t="inlineStr">
        <is>
          <t>ÄLMHULT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46251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45687</v>
      </c>
      <c r="E231" s="1" t="n">
        <v>46251</v>
      </c>
      <c r="F231" t="inlineStr">
        <is>
          <t>KRONOBERGS LÄN</t>
        </is>
      </c>
      <c r="G231" t="inlineStr">
        <is>
          <t>ÄLMHULT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45268</v>
      </c>
      <c r="E232" s="1" t="n">
        <v>46251</v>
      </c>
      <c r="F232" t="inlineStr">
        <is>
          <t>KRONOBERGS LÄN</t>
        </is>
      </c>
      <c r="G232" t="inlineStr">
        <is>
          <t>ÄLMHULT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46251</v>
      </c>
      <c r="F233" t="inlineStr">
        <is>
          <t>KRONOBERGS LÄN</t>
        </is>
      </c>
      <c r="G233" t="inlineStr">
        <is>
          <t>ÄLMHULT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45543</v>
      </c>
      <c r="E234" s="1" t="n">
        <v>46251</v>
      </c>
      <c r="F234" t="inlineStr">
        <is>
          <t>KRONOBERGS LÄN</t>
        </is>
      </c>
      <c r="G234" t="inlineStr">
        <is>
          <t>ÄLMHULT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46251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45513</v>
      </c>
      <c r="E236" s="1" t="n">
        <v>46251</v>
      </c>
      <c r="F236" t="inlineStr">
        <is>
          <t>KRONOBERGS LÄN</t>
        </is>
      </c>
      <c r="G236" t="inlineStr">
        <is>
          <t>ÄLMHULT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46251</v>
      </c>
      <c r="F237" t="inlineStr">
        <is>
          <t>KRONOBERGS LÄN</t>
        </is>
      </c>
      <c r="G237" t="inlineStr">
        <is>
          <t>ÄLMHULT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46251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46251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45175</v>
      </c>
      <c r="E240" s="1" t="n">
        <v>46251</v>
      </c>
      <c r="F240" t="inlineStr">
        <is>
          <t>KRONOBERGS LÄN</t>
        </is>
      </c>
      <c r="G240" t="inlineStr">
        <is>
          <t>ÄLMHULT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46251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15.3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46251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45564</v>
      </c>
      <c r="E243" s="1" t="n">
        <v>46251</v>
      </c>
      <c r="F243" t="inlineStr">
        <is>
          <t>KRONOBERGS LÄN</t>
        </is>
      </c>
      <c r="G243" t="inlineStr">
        <is>
          <t>ÄLMHULT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46251</v>
      </c>
      <c r="F244" t="inlineStr">
        <is>
          <t>KRONOBERGS LÄN</t>
        </is>
      </c>
      <c r="G244" t="inlineStr">
        <is>
          <t>ÄLMHULT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44876</v>
      </c>
      <c r="E245" s="1" t="n">
        <v>46251</v>
      </c>
      <c r="F245" t="inlineStr">
        <is>
          <t>KRONOBERGS LÄN</t>
        </is>
      </c>
      <c r="G245" t="inlineStr">
        <is>
          <t>ÄLMHULT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46251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46251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46251</v>
      </c>
      <c r="F248" t="inlineStr">
        <is>
          <t>KRONOBERGS LÄN</t>
        </is>
      </c>
      <c r="G248" t="inlineStr">
        <is>
          <t>ÄLMHULT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46251</v>
      </c>
      <c r="F249" t="inlineStr">
        <is>
          <t>KRONOBERGS LÄN</t>
        </is>
      </c>
      <c r="G249" t="inlineStr">
        <is>
          <t>ÄLMHULT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46251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46251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46251</v>
      </c>
      <c r="F252" t="inlineStr">
        <is>
          <t>KRONOBERGS LÄN</t>
        </is>
      </c>
      <c r="G252" t="inlineStr">
        <is>
          <t>ÄLMHULT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46251</v>
      </c>
      <c r="F253" t="inlineStr">
        <is>
          <t>KRONOBERGS LÄN</t>
        </is>
      </c>
      <c r="G253" t="inlineStr">
        <is>
          <t>ÄLMHULT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46251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46251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46251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46251</v>
      </c>
      <c r="F257" t="inlineStr">
        <is>
          <t>KRONOBERGS LÄN</t>
        </is>
      </c>
      <c r="G257" t="inlineStr">
        <is>
          <t>ÄLMHULT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46251</v>
      </c>
      <c r="F258" t="inlineStr">
        <is>
          <t>KRONOBERGS LÄN</t>
        </is>
      </c>
      <c r="G258" t="inlineStr">
        <is>
          <t>ÄLMHULT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46251</v>
      </c>
      <c r="F259" t="inlineStr">
        <is>
          <t>KRONOBERGS LÄN</t>
        </is>
      </c>
      <c r="G259" t="inlineStr">
        <is>
          <t>ÄLMHULT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46251</v>
      </c>
      <c r="F260" t="inlineStr">
        <is>
          <t>KRONOBERGS LÄN</t>
        </is>
      </c>
      <c r="G260" t="inlineStr">
        <is>
          <t>ÄLMHULT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44921</v>
      </c>
      <c r="E261" s="1" t="n">
        <v>46251</v>
      </c>
      <c r="F261" t="inlineStr">
        <is>
          <t>KRONOBERGS LÄN</t>
        </is>
      </c>
      <c r="G261" t="inlineStr">
        <is>
          <t>ÄLMHULT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46251</v>
      </c>
      <c r="F262" t="inlineStr">
        <is>
          <t>KRONOBERGS LÄN</t>
        </is>
      </c>
      <c r="G262" t="inlineStr">
        <is>
          <t>ÄLMHULT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46251</v>
      </c>
      <c r="F263" t="inlineStr">
        <is>
          <t>KRONOBERGS LÄN</t>
        </is>
      </c>
      <c r="G263" t="inlineStr">
        <is>
          <t>ÄLMHULT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46251</v>
      </c>
      <c r="F264" t="inlineStr">
        <is>
          <t>KRONOBERGS LÄN</t>
        </is>
      </c>
      <c r="G264" t="inlineStr">
        <is>
          <t>ÄLMHULT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46251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22415-2024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45446</v>
      </c>
      <c r="E266" s="1" t="n">
        <v>46251</v>
      </c>
      <c r="F266" t="inlineStr">
        <is>
          <t>KRONOBERGS LÄN</t>
        </is>
      </c>
      <c r="G266" t="inlineStr">
        <is>
          <t>ÄLMHULT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45969</v>
      </c>
      <c r="E267" s="1" t="n">
        <v>46251</v>
      </c>
      <c r="F267" t="inlineStr">
        <is>
          <t>KRONOBERGS LÄN</t>
        </is>
      </c>
      <c r="G267" t="inlineStr">
        <is>
          <t>ÄLMHULT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45969</v>
      </c>
      <c r="E268" s="1" t="n">
        <v>46251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46251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44621</v>
      </c>
      <c r="E270" s="1" t="n">
        <v>46251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46251</v>
      </c>
      <c r="F271" t="inlineStr">
        <is>
          <t>KRONOBERGS LÄN</t>
        </is>
      </c>
      <c r="G271" t="inlineStr">
        <is>
          <t>ÄLMHULT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46251</v>
      </c>
      <c r="F272" t="inlineStr">
        <is>
          <t>KRONOBERGS LÄN</t>
        </is>
      </c>
      <c r="G272" t="inlineStr">
        <is>
          <t>ÄLMHULT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46251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45462</v>
      </c>
      <c r="E274" s="1" t="n">
        <v>46251</v>
      </c>
      <c r="F274" t="inlineStr">
        <is>
          <t>KRONOBERGS LÄN</t>
        </is>
      </c>
      <c r="G274" t="inlineStr">
        <is>
          <t>ÄLMHULT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46251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46251</v>
      </c>
      <c r="F276" t="inlineStr">
        <is>
          <t>KRONOBERGS LÄN</t>
        </is>
      </c>
      <c r="G276" t="inlineStr">
        <is>
          <t>ÄLMHULT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46251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46251</v>
      </c>
      <c r="F278" t="inlineStr">
        <is>
          <t>KRONOBERGS LÄN</t>
        </is>
      </c>
      <c r="G278" t="inlineStr">
        <is>
          <t>ÄLMHULT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46251</v>
      </c>
      <c r="F279" t="inlineStr">
        <is>
          <t>KRONOBERGS LÄN</t>
        </is>
      </c>
      <c r="G279" t="inlineStr">
        <is>
          <t>ÄLMHULT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46251</v>
      </c>
      <c r="F280" t="inlineStr">
        <is>
          <t>KRONOBERGS LÄN</t>
        </is>
      </c>
      <c r="G280" t="inlineStr">
        <is>
          <t>ÄLMHULT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46251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46251</v>
      </c>
      <c r="F282" t="inlineStr">
        <is>
          <t>KRONOBERGS LÄN</t>
        </is>
      </c>
      <c r="G282" t="inlineStr">
        <is>
          <t>ÄLMHULT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44992</v>
      </c>
      <c r="E283" s="1" t="n">
        <v>46251</v>
      </c>
      <c r="F283" t="inlineStr">
        <is>
          <t>KRONOBERGS LÄN</t>
        </is>
      </c>
      <c r="G283" t="inlineStr">
        <is>
          <t>ÄLMHULT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45578</v>
      </c>
      <c r="E284" s="1" t="n">
        <v>46251</v>
      </c>
      <c r="F284" t="inlineStr">
        <is>
          <t>KRONOBERGS LÄN</t>
        </is>
      </c>
      <c r="G284" t="inlineStr">
        <is>
          <t>ÄLMHULT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45069-2024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45575</v>
      </c>
      <c r="E285" s="1" t="n">
        <v>46251</v>
      </c>
      <c r="F285" t="inlineStr">
        <is>
          <t>KRONOBERGS LÄN</t>
        </is>
      </c>
      <c r="G285" t="inlineStr">
        <is>
          <t>ÄLMHULT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45308</v>
      </c>
      <c r="E286" s="1" t="n">
        <v>46251</v>
      </c>
      <c r="F286" t="inlineStr">
        <is>
          <t>KRONOBERGS LÄN</t>
        </is>
      </c>
      <c r="G286" t="inlineStr">
        <is>
          <t>ÄLMHULT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46251</v>
      </c>
      <c r="F287" t="inlineStr">
        <is>
          <t>KRONOBERGS LÄN</t>
        </is>
      </c>
      <c r="G287" t="inlineStr">
        <is>
          <t>ÄLMHULT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11427-2024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46251</v>
      </c>
      <c r="F288" t="inlineStr">
        <is>
          <t>KRONOBERGS LÄN</t>
        </is>
      </c>
      <c r="G288" t="inlineStr">
        <is>
          <t>ÄLMHULT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46251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59803-2025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45992</v>
      </c>
      <c r="E290" s="1" t="n">
        <v>46251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46251</v>
      </c>
      <c r="F291" t="inlineStr">
        <is>
          <t>KRONOBERGS LÄN</t>
        </is>
      </c>
      <c r="G291" t="inlineStr">
        <is>
          <t>ÄLMHULT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59780-2025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45992</v>
      </c>
      <c r="E292" s="1" t="n">
        <v>46251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59771-2025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46251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46251</v>
      </c>
      <c r="F294" t="inlineStr">
        <is>
          <t>KRONOBERGS LÄN</t>
        </is>
      </c>
      <c r="G294" t="inlineStr">
        <is>
          <t>ÄLMHULT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46251</v>
      </c>
      <c r="F295" t="inlineStr">
        <is>
          <t>KRONOBERGS LÄN</t>
        </is>
      </c>
      <c r="G295" t="inlineStr">
        <is>
          <t>ÄLMHULT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46251</v>
      </c>
      <c r="F296" t="inlineStr">
        <is>
          <t>KRONOBERGS LÄN</t>
        </is>
      </c>
      <c r="G296" t="inlineStr">
        <is>
          <t>ÄLMHULT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46251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46251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49112-2022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44860</v>
      </c>
      <c r="E299" s="1" t="n">
        <v>46251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46251</v>
      </c>
      <c r="F300" t="inlineStr">
        <is>
          <t>KRONOBERGS LÄN</t>
        </is>
      </c>
      <c r="G300" t="inlineStr">
        <is>
          <t>ÄLMHULT</t>
        </is>
      </c>
      <c r="H300" t="inlineStr">
        <is>
          <t>Kommuner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46251</v>
      </c>
      <c r="F301" t="inlineStr">
        <is>
          <t>KRONOBERGS LÄN</t>
        </is>
      </c>
      <c r="G301" t="inlineStr">
        <is>
          <t>ÄLMHULT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46251</v>
      </c>
      <c r="F302" t="inlineStr">
        <is>
          <t>KRONOBERGS LÄN</t>
        </is>
      </c>
      <c r="G302" t="inlineStr">
        <is>
          <t>ÄLMHULT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46251</v>
      </c>
      <c r="F303" t="inlineStr">
        <is>
          <t>KRONOBERGS LÄN</t>
        </is>
      </c>
      <c r="G303" t="inlineStr">
        <is>
          <t>ÄLMHULT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46251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65247-2023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45290</v>
      </c>
      <c r="E305" s="1" t="n">
        <v>46251</v>
      </c>
      <c r="F305" t="inlineStr">
        <is>
          <t>KRONOBERGS LÄN</t>
        </is>
      </c>
      <c r="G305" t="inlineStr">
        <is>
          <t>ÄLMHULT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45609</v>
      </c>
      <c r="E306" s="1" t="n">
        <v>46251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45217</v>
      </c>
      <c r="E307" s="1" t="n">
        <v>46251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46251</v>
      </c>
      <c r="F308" t="inlineStr">
        <is>
          <t>KRONOBERGS LÄN</t>
        </is>
      </c>
      <c r="G308" t="inlineStr">
        <is>
          <t>ÄLMHULT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46251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46251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46251</v>
      </c>
      <c r="F311" t="inlineStr">
        <is>
          <t>KRONOBERGS LÄN</t>
        </is>
      </c>
      <c r="G311" t="inlineStr">
        <is>
          <t>ÄLMHULT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45078</v>
      </c>
      <c r="E312" s="1" t="n">
        <v>46251</v>
      </c>
      <c r="F312" t="inlineStr">
        <is>
          <t>KRONOBERGS LÄN</t>
        </is>
      </c>
      <c r="G312" t="inlineStr">
        <is>
          <t>ÄLMHULT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68189-2021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44526</v>
      </c>
      <c r="E313" s="1" t="n">
        <v>46251</v>
      </c>
      <c r="F313" t="inlineStr">
        <is>
          <t>KRONOBERGS LÄN</t>
        </is>
      </c>
      <c r="G313" t="inlineStr">
        <is>
          <t>ÄLMHULT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46251</v>
      </c>
      <c r="F314" t="inlineStr">
        <is>
          <t>KRONOBERGS LÄN</t>
        </is>
      </c>
      <c r="G314" t="inlineStr">
        <is>
          <t>ÄLMHULT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45359</v>
      </c>
      <c r="E315" s="1" t="n">
        <v>46251</v>
      </c>
      <c r="F315" t="inlineStr">
        <is>
          <t>KRONOBERGS LÄN</t>
        </is>
      </c>
      <c r="G315" t="inlineStr">
        <is>
          <t>ÄLMHULT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46251</v>
      </c>
      <c r="F316" t="inlineStr">
        <is>
          <t>KRONOBERGS LÄN</t>
        </is>
      </c>
      <c r="G316" t="inlineStr">
        <is>
          <t>ÄLMHULT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45167</v>
      </c>
      <c r="E317" s="1" t="n">
        <v>46251</v>
      </c>
      <c r="F317" t="inlineStr">
        <is>
          <t>KRONOBERGS LÄN</t>
        </is>
      </c>
      <c r="G317" t="inlineStr">
        <is>
          <t>ÄLMHULT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46251</v>
      </c>
      <c r="F318" t="inlineStr">
        <is>
          <t>KRONOBERGS LÄN</t>
        </is>
      </c>
      <c r="G318" t="inlineStr">
        <is>
          <t>ÄLMHULT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19722-2023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45051</v>
      </c>
      <c r="E319" s="1" t="n">
        <v>46251</v>
      </c>
      <c r="F319" t="inlineStr">
        <is>
          <t>KRONOBERGS LÄN</t>
        </is>
      </c>
      <c r="G319" t="inlineStr">
        <is>
          <t>ÄLMHULT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46251</v>
      </c>
      <c r="F320" t="inlineStr">
        <is>
          <t>KRONOBERGS LÄN</t>
        </is>
      </c>
      <c r="G320" t="inlineStr">
        <is>
          <t>ÄLMHULT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27334-2025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45812</v>
      </c>
      <c r="E321" s="1" t="n">
        <v>46251</v>
      </c>
      <c r="F321" t="inlineStr">
        <is>
          <t>KRONOBERGS LÄN</t>
        </is>
      </c>
      <c r="G321" t="inlineStr">
        <is>
          <t>ÄLMHULT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45012</v>
      </c>
      <c r="E322" s="1" t="n">
        <v>46251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46251</v>
      </c>
      <c r="F323" t="inlineStr">
        <is>
          <t>KRONOBERGS LÄN</t>
        </is>
      </c>
      <c r="G323" t="inlineStr">
        <is>
          <t>ÄLMHULT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46251</v>
      </c>
      <c r="F324" t="inlineStr">
        <is>
          <t>KRONOBERGS LÄN</t>
        </is>
      </c>
      <c r="G324" t="inlineStr">
        <is>
          <t>ÄLMHULT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18575-2022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44687</v>
      </c>
      <c r="E325" s="1" t="n">
        <v>46251</v>
      </c>
      <c r="F325" t="inlineStr">
        <is>
          <t>KRONOBERGS LÄN</t>
        </is>
      </c>
      <c r="G325" t="inlineStr">
        <is>
          <t>ÄLMHULT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46251</v>
      </c>
      <c r="F326" t="inlineStr">
        <is>
          <t>KRONOBERGS LÄN</t>
        </is>
      </c>
      <c r="G326" t="inlineStr">
        <is>
          <t>ÄLMHULT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30370-2022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44760</v>
      </c>
      <c r="E327" s="1" t="n">
        <v>46251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46251</v>
      </c>
      <c r="F328" t="inlineStr">
        <is>
          <t>KRONOBERGS LÄN</t>
        </is>
      </c>
      <c r="G328" t="inlineStr">
        <is>
          <t>ÄLMHULT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68212-2021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44526</v>
      </c>
      <c r="E329" s="1" t="n">
        <v>46251</v>
      </c>
      <c r="F329" t="inlineStr">
        <is>
          <t>KRONOBERGS LÄN</t>
        </is>
      </c>
      <c r="G329" t="inlineStr">
        <is>
          <t>ÄLMHULT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45081</v>
      </c>
      <c r="E330" s="1" t="n">
        <v>46251</v>
      </c>
      <c r="F330" t="inlineStr">
        <is>
          <t>KRONOBERGS LÄN</t>
        </is>
      </c>
      <c r="G330" t="inlineStr">
        <is>
          <t>ÄLMHULT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46251</v>
      </c>
      <c r="F331" t="inlineStr">
        <is>
          <t>KRONOBERGS LÄN</t>
        </is>
      </c>
      <c r="G331" t="inlineStr">
        <is>
          <t>ÄLMHULT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46251</v>
      </c>
      <c r="F332" t="inlineStr">
        <is>
          <t>KRONOBERGS LÄN</t>
        </is>
      </c>
      <c r="G332" t="inlineStr">
        <is>
          <t>ÄLMHULT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45076</v>
      </c>
      <c r="E333" s="1" t="n">
        <v>46251</v>
      </c>
      <c r="F333" t="inlineStr">
        <is>
          <t>KRONOBERGS LÄN</t>
        </is>
      </c>
      <c r="G333" t="inlineStr">
        <is>
          <t>ÄLMHULT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45076</v>
      </c>
      <c r="E334" s="1" t="n">
        <v>46251</v>
      </c>
      <c r="F334" t="inlineStr">
        <is>
          <t>KRONOBERGS LÄN</t>
        </is>
      </c>
      <c r="G334" t="inlineStr">
        <is>
          <t>ÄLMHULT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46251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45531</v>
      </c>
      <c r="E336" s="1" t="n">
        <v>46251</v>
      </c>
      <c r="F336" t="inlineStr">
        <is>
          <t>KRONOBERGS LÄN</t>
        </is>
      </c>
      <c r="G336" t="inlineStr">
        <is>
          <t>ÄLMHULT</t>
        </is>
      </c>
      <c r="H336" t="inlineStr">
        <is>
          <t>Kyrkan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45010</v>
      </c>
      <c r="E337" s="1" t="n">
        <v>46251</v>
      </c>
      <c r="F337" t="inlineStr">
        <is>
          <t>KRONOBERGS LÄN</t>
        </is>
      </c>
      <c r="G337" t="inlineStr">
        <is>
          <t>ÄLMHULT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44826</v>
      </c>
      <c r="E338" s="1" t="n">
        <v>46251</v>
      </c>
      <c r="F338" t="inlineStr">
        <is>
          <t>KRONOBERGS LÄN</t>
        </is>
      </c>
      <c r="G338" t="inlineStr">
        <is>
          <t>ÄLMHULT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46251</v>
      </c>
      <c r="F339" t="inlineStr">
        <is>
          <t>KRONOBERGS LÄN</t>
        </is>
      </c>
      <c r="G339" t="inlineStr">
        <is>
          <t>ÄLMHULT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46251</v>
      </c>
      <c r="F340" t="inlineStr">
        <is>
          <t>KRONOBERGS LÄN</t>
        </is>
      </c>
      <c r="G340" t="inlineStr">
        <is>
          <t>ÄLMHULT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60621-2021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44496</v>
      </c>
      <c r="E341" s="1" t="n">
        <v>46251</v>
      </c>
      <c r="F341" t="inlineStr">
        <is>
          <t>KRONOBERGS LÄN</t>
        </is>
      </c>
      <c r="G341" t="inlineStr">
        <is>
          <t>ÄLMHULT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45177</v>
      </c>
      <c r="E342" s="1" t="n">
        <v>46251</v>
      </c>
      <c r="F342" t="inlineStr">
        <is>
          <t>KRONOBERGS LÄN</t>
        </is>
      </c>
      <c r="G342" t="inlineStr">
        <is>
          <t>ÄLMHULT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45042</v>
      </c>
      <c r="E343" s="1" t="n">
        <v>46251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44568</v>
      </c>
      <c r="E344" s="1" t="n">
        <v>46251</v>
      </c>
      <c r="F344" t="inlineStr">
        <is>
          <t>KRONOBERGS LÄN</t>
        </is>
      </c>
      <c r="G344" t="inlineStr">
        <is>
          <t>ÄLMHULT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46251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45273</v>
      </c>
      <c r="E346" s="1" t="n">
        <v>46251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46251</v>
      </c>
      <c r="F347" t="inlineStr">
        <is>
          <t>KRONOBERGS LÄN</t>
        </is>
      </c>
      <c r="G347" t="inlineStr">
        <is>
          <t>ÄLMHULT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45887</v>
      </c>
      <c r="E348" s="1" t="n">
        <v>46251</v>
      </c>
      <c r="F348" t="inlineStr">
        <is>
          <t>KRONOBERGS LÄN</t>
        </is>
      </c>
      <c r="G348" t="inlineStr">
        <is>
          <t>ÄLMHULT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46251</v>
      </c>
      <c r="F349" t="inlineStr">
        <is>
          <t>KRONOBERGS LÄN</t>
        </is>
      </c>
      <c r="G349" t="inlineStr">
        <is>
          <t>ÄLMHULT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45817</v>
      </c>
      <c r="E350" s="1" t="n">
        <v>46251</v>
      </c>
      <c r="F350" t="inlineStr">
        <is>
          <t>KRONOBERGS LÄN</t>
        </is>
      </c>
      <c r="G350" t="inlineStr">
        <is>
          <t>ÄLMHULT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45733</v>
      </c>
      <c r="E351" s="1" t="n">
        <v>46251</v>
      </c>
      <c r="F351" t="inlineStr">
        <is>
          <t>KRONOBERGS LÄN</t>
        </is>
      </c>
      <c r="G351" t="inlineStr">
        <is>
          <t>ÄLMHULT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45391</v>
      </c>
      <c r="E352" s="1" t="n">
        <v>46251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46251</v>
      </c>
      <c r="F353" t="inlineStr">
        <is>
          <t>KRONOBERGS LÄN</t>
        </is>
      </c>
      <c r="G353" t="inlineStr">
        <is>
          <t>ÄLMHULT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46251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46251</v>
      </c>
      <c r="F355" t="inlineStr">
        <is>
          <t>KRONOBERGS LÄN</t>
        </is>
      </c>
      <c r="G355" t="inlineStr">
        <is>
          <t>ÄLMHULT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33944-2023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45134</v>
      </c>
      <c r="E356" s="1" t="n">
        <v>46251</v>
      </c>
      <c r="F356" t="inlineStr">
        <is>
          <t>KRONOBERGS LÄN</t>
        </is>
      </c>
      <c r="G356" t="inlineStr">
        <is>
          <t>ÄLMHULT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27863-2022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44743</v>
      </c>
      <c r="E357" s="1" t="n">
        <v>46251</v>
      </c>
      <c r="F357" t="inlineStr">
        <is>
          <t>KRONOBERGS LÄN</t>
        </is>
      </c>
      <c r="G357" t="inlineStr">
        <is>
          <t>ÄLMHULT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46251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46251</v>
      </c>
      <c r="F359" t="inlineStr">
        <is>
          <t>KRONOBERGS LÄN</t>
        </is>
      </c>
      <c r="G359" t="inlineStr">
        <is>
          <t>ÄLMHULT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46251</v>
      </c>
      <c r="F360" t="inlineStr">
        <is>
          <t>KRONOBERGS LÄN</t>
        </is>
      </c>
      <c r="G360" t="inlineStr">
        <is>
          <t>ÄLMHULT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46251</v>
      </c>
      <c r="F361" t="inlineStr">
        <is>
          <t>KRONOBERGS LÄN</t>
        </is>
      </c>
      <c r="G361" t="inlineStr">
        <is>
          <t>ÄLMHULT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46251</v>
      </c>
      <c r="F362" t="inlineStr">
        <is>
          <t>KRONOBERGS LÄN</t>
        </is>
      </c>
      <c r="G362" t="inlineStr">
        <is>
          <t>ÄLMHULT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45373</v>
      </c>
      <c r="E363" s="1" t="n">
        <v>46251</v>
      </c>
      <c r="F363" t="inlineStr">
        <is>
          <t>KRONOBERGS LÄN</t>
        </is>
      </c>
      <c r="G363" t="inlineStr">
        <is>
          <t>ÄLMHULT</t>
        </is>
      </c>
      <c r="H363" t="inlineStr">
        <is>
          <t>Sveaskog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45373</v>
      </c>
      <c r="E364" s="1" t="n">
        <v>46251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56955-2024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45628</v>
      </c>
      <c r="E365" s="1" t="n">
        <v>46251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45311</v>
      </c>
      <c r="E366" s="1" t="n">
        <v>46251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45748</v>
      </c>
      <c r="E367" s="1" t="n">
        <v>46251</v>
      </c>
      <c r="F367" t="inlineStr">
        <is>
          <t>KRONOBERGS LÄN</t>
        </is>
      </c>
      <c r="G367" t="inlineStr">
        <is>
          <t>ÄLMHULT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46251</v>
      </c>
      <c r="F368" t="inlineStr">
        <is>
          <t>KRONOBERGS LÄN</t>
        </is>
      </c>
      <c r="G368" t="inlineStr">
        <is>
          <t>ÄLMHULT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46251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45061</v>
      </c>
      <c r="E370" s="1" t="n">
        <v>46251</v>
      </c>
      <c r="F370" t="inlineStr">
        <is>
          <t>KRONOBERGS LÄN</t>
        </is>
      </c>
      <c r="G370" t="inlineStr">
        <is>
          <t>ÄLMHULT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45638</v>
      </c>
      <c r="E371" s="1" t="n">
        <v>46251</v>
      </c>
      <c r="F371" t="inlineStr">
        <is>
          <t>KRONOBERGS LÄN</t>
        </is>
      </c>
      <c r="G371" t="inlineStr">
        <is>
          <t>ÄLMHULT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46251</v>
      </c>
      <c r="F372" t="inlineStr">
        <is>
          <t>KRONOBERGS LÄN</t>
        </is>
      </c>
      <c r="G372" t="inlineStr">
        <is>
          <t>ÄLMHULT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44784</v>
      </c>
      <c r="E373" s="1" t="n">
        <v>46251</v>
      </c>
      <c r="F373" t="inlineStr">
        <is>
          <t>KRONOBERGS LÄN</t>
        </is>
      </c>
      <c r="G373" t="inlineStr">
        <is>
          <t>ÄLMHULT</t>
        </is>
      </c>
      <c r="H373" t="inlineStr">
        <is>
          <t>Kyrkan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45348</v>
      </c>
      <c r="E374" s="1" t="n">
        <v>46251</v>
      </c>
      <c r="F374" t="inlineStr">
        <is>
          <t>KRONOBERGS LÄN</t>
        </is>
      </c>
      <c r="G374" t="inlineStr">
        <is>
          <t>ÄLMHULT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46251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46251</v>
      </c>
      <c r="F376" t="inlineStr">
        <is>
          <t>KRONOBERGS LÄN</t>
        </is>
      </c>
      <c r="G376" t="inlineStr">
        <is>
          <t>ÄLMHULT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45244</v>
      </c>
      <c r="E377" s="1" t="n">
        <v>46251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46251</v>
      </c>
      <c r="F378" t="inlineStr">
        <is>
          <t>KRONOBERGS LÄN</t>
        </is>
      </c>
      <c r="G378" t="inlineStr">
        <is>
          <t>ÄLMHULT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46251</v>
      </c>
      <c r="F379" t="inlineStr">
        <is>
          <t>KRONOBERGS LÄN</t>
        </is>
      </c>
      <c r="G379" t="inlineStr">
        <is>
          <t>ÄLMHULT</t>
        </is>
      </c>
      <c r="H379" t="inlineStr">
        <is>
          <t>Kommuner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46251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46251</v>
      </c>
      <c r="F381" t="inlineStr">
        <is>
          <t>KRONOBERGS LÄN</t>
        </is>
      </c>
      <c r="G381" t="inlineStr">
        <is>
          <t>ÄLMHULT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53203-2024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45612</v>
      </c>
      <c r="E382" s="1" t="n">
        <v>46251</v>
      </c>
      <c r="F382" t="inlineStr">
        <is>
          <t>KRONOBERGS LÄN</t>
        </is>
      </c>
      <c r="G382" t="inlineStr">
        <is>
          <t>ÄLMHULT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45328</v>
      </c>
      <c r="E383" s="1" t="n">
        <v>46251</v>
      </c>
      <c r="F383" t="inlineStr">
        <is>
          <t>KRONOBERGS LÄN</t>
        </is>
      </c>
      <c r="G383" t="inlineStr">
        <is>
          <t>ÄLMHULT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45735</v>
      </c>
      <c r="E384" s="1" t="n">
        <v>46251</v>
      </c>
      <c r="F384" t="inlineStr">
        <is>
          <t>KRONOBERGS LÄN</t>
        </is>
      </c>
      <c r="G384" t="inlineStr">
        <is>
          <t>ÄLMHULT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46251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46251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45273</v>
      </c>
      <c r="E387" s="1" t="n">
        <v>46251</v>
      </c>
      <c r="F387" t="inlineStr">
        <is>
          <t>KRONOBERGS LÄN</t>
        </is>
      </c>
      <c r="G387" t="inlineStr">
        <is>
          <t>ÄLMHULT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46251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46251</v>
      </c>
      <c r="F389" t="inlineStr">
        <is>
          <t>KRONOBERGS LÄN</t>
        </is>
      </c>
      <c r="G389" t="inlineStr">
        <is>
          <t>ÄLMHULT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44865</v>
      </c>
      <c r="E390" s="1" t="n">
        <v>46251</v>
      </c>
      <c r="F390" t="inlineStr">
        <is>
          <t>KRONOBERGS LÄN</t>
        </is>
      </c>
      <c r="G390" t="inlineStr">
        <is>
          <t>ÄLMHULT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46251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46061</v>
      </c>
      <c r="E392" s="1" t="n">
        <v>46251</v>
      </c>
      <c r="F392" t="inlineStr">
        <is>
          <t>KRONOBERGS LÄN</t>
        </is>
      </c>
      <c r="G392" t="inlineStr">
        <is>
          <t>ÄLMHULT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46251</v>
      </c>
      <c r="F393" t="inlineStr">
        <is>
          <t>KRONOBERGS LÄN</t>
        </is>
      </c>
      <c r="G393" t="inlineStr">
        <is>
          <t>ÄLMHULT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45078</v>
      </c>
      <c r="E394" s="1" t="n">
        <v>46251</v>
      </c>
      <c r="F394" t="inlineStr">
        <is>
          <t>KRONOBERGS LÄN</t>
        </is>
      </c>
      <c r="G394" t="inlineStr">
        <is>
          <t>ÄLMHULT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46251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46251</v>
      </c>
      <c r="F396" t="inlineStr">
        <is>
          <t>KRONOBERGS LÄN</t>
        </is>
      </c>
      <c r="G396" t="inlineStr">
        <is>
          <t>ÄLMHULT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45653</v>
      </c>
      <c r="E397" s="1" t="n">
        <v>46251</v>
      </c>
      <c r="F397" t="inlineStr">
        <is>
          <t>KRONOBERGS LÄN</t>
        </is>
      </c>
      <c r="G397" t="inlineStr">
        <is>
          <t>ÄLMHULT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57501-2024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45630</v>
      </c>
      <c r="E398" s="1" t="n">
        <v>46251</v>
      </c>
      <c r="F398" t="inlineStr">
        <is>
          <t>KRONOBERGS LÄN</t>
        </is>
      </c>
      <c r="G398" t="inlineStr">
        <is>
          <t>ÄLMHULT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8102-2026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46063</v>
      </c>
      <c r="E399" s="1" t="n">
        <v>46251</v>
      </c>
      <c r="F399" t="inlineStr">
        <is>
          <t>KRONOBERGS LÄN</t>
        </is>
      </c>
      <c r="G399" t="inlineStr">
        <is>
          <t>ÄLMHULT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46251</v>
      </c>
      <c r="F400" t="inlineStr">
        <is>
          <t>KRONOBERGS LÄN</t>
        </is>
      </c>
      <c r="G400" t="inlineStr">
        <is>
          <t>ÄLMHULT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46251</v>
      </c>
      <c r="F401" t="inlineStr">
        <is>
          <t>KRONOBERGS LÄN</t>
        </is>
      </c>
      <c r="G401" t="inlineStr">
        <is>
          <t>ÄLMHULT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46251</v>
      </c>
      <c r="F402" t="inlineStr">
        <is>
          <t>KRONOBERGS LÄN</t>
        </is>
      </c>
      <c r="G402" t="inlineStr">
        <is>
          <t>ÄLMHULT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46251</v>
      </c>
      <c r="F403" t="inlineStr">
        <is>
          <t>KRONOBERGS LÄN</t>
        </is>
      </c>
      <c r="G403" t="inlineStr">
        <is>
          <t>ÄLMHULT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45010</v>
      </c>
      <c r="E404" s="1" t="n">
        <v>46251</v>
      </c>
      <c r="F404" t="inlineStr">
        <is>
          <t>KRONOBERGS LÄN</t>
        </is>
      </c>
      <c r="G404" t="inlineStr">
        <is>
          <t>ÄLMHULT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46251</v>
      </c>
      <c r="F405" t="inlineStr">
        <is>
          <t>KRONOBERGS LÄN</t>
        </is>
      </c>
      <c r="G405" t="inlineStr">
        <is>
          <t>ÄLMHULT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46251</v>
      </c>
      <c r="F406" t="inlineStr">
        <is>
          <t>KRONOBERGS LÄN</t>
        </is>
      </c>
      <c r="G406" t="inlineStr">
        <is>
          <t>ÄLMHULT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45595</v>
      </c>
      <c r="E407" s="1" t="n">
        <v>46251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62812-2023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45271</v>
      </c>
      <c r="E408" s="1" t="n">
        <v>46251</v>
      </c>
      <c r="F408" t="inlineStr">
        <is>
          <t>KRONOBERGS LÄN</t>
        </is>
      </c>
      <c r="G408" t="inlineStr">
        <is>
          <t>ÄLMHULT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46251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38812-2024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45547</v>
      </c>
      <c r="E410" s="1" t="n">
        <v>46251</v>
      </c>
      <c r="F410" t="inlineStr">
        <is>
          <t>KRONOBERGS LÄN</t>
        </is>
      </c>
      <c r="G410" t="inlineStr">
        <is>
          <t>ÄLMHULT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68552-2021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44529</v>
      </c>
      <c r="E411" s="1" t="n">
        <v>46251</v>
      </c>
      <c r="F411" t="inlineStr">
        <is>
          <t>KRONOBERGS LÄN</t>
        </is>
      </c>
      <c r="G411" t="inlineStr">
        <is>
          <t>ÄLMHULT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46251</v>
      </c>
      <c r="F412" t="inlineStr">
        <is>
          <t>KRONOBERGS LÄN</t>
        </is>
      </c>
      <c r="G412" t="inlineStr">
        <is>
          <t>ÄLMHULT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46251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46251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45228</v>
      </c>
      <c r="E415" s="1" t="n">
        <v>46251</v>
      </c>
      <c r="F415" t="inlineStr">
        <is>
          <t>KRONOBERGS LÄN</t>
        </is>
      </c>
      <c r="G415" t="inlineStr">
        <is>
          <t>ÄLMHULT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45252</v>
      </c>
      <c r="E416" s="1" t="n">
        <v>46251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62172-2022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44922</v>
      </c>
      <c r="E417" s="1" t="n">
        <v>46251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45680</v>
      </c>
      <c r="E418" s="1" t="n">
        <v>46251</v>
      </c>
      <c r="F418" t="inlineStr">
        <is>
          <t>KRONOBERGS LÄN</t>
        </is>
      </c>
      <c r="G418" t="inlineStr">
        <is>
          <t>ÄLMHULT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44882</v>
      </c>
      <c r="E419" s="1" t="n">
        <v>46251</v>
      </c>
      <c r="F419" t="inlineStr">
        <is>
          <t>KRONOBERGS LÄN</t>
        </is>
      </c>
      <c r="G419" t="inlineStr">
        <is>
          <t>ÄLMHULT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45467</v>
      </c>
      <c r="E420" s="1" t="n">
        <v>46251</v>
      </c>
      <c r="F420" t="inlineStr">
        <is>
          <t>KRONOBERGS LÄN</t>
        </is>
      </c>
      <c r="G420" t="inlineStr">
        <is>
          <t>ÄLMHULT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44897</v>
      </c>
      <c r="E421" s="1" t="n">
        <v>46251</v>
      </c>
      <c r="F421" t="inlineStr">
        <is>
          <t>KRONOBERGS LÄN</t>
        </is>
      </c>
      <c r="G421" t="inlineStr">
        <is>
          <t>ÄLMHULT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46251</v>
      </c>
      <c r="F422" t="inlineStr">
        <is>
          <t>KRONOBERGS LÄN</t>
        </is>
      </c>
      <c r="G422" t="inlineStr">
        <is>
          <t>ÄLMHULT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46251</v>
      </c>
      <c r="F423" t="inlineStr">
        <is>
          <t>KRONOBERGS LÄN</t>
        </is>
      </c>
      <c r="G423" t="inlineStr">
        <is>
          <t>ÄLMHULT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46251</v>
      </c>
      <c r="F424" t="inlineStr">
        <is>
          <t>KRONOBERGS LÄN</t>
        </is>
      </c>
      <c r="G424" t="inlineStr">
        <is>
          <t>ÄLMHULT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30322-2025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45827</v>
      </c>
      <c r="E425" s="1" t="n">
        <v>46251</v>
      </c>
      <c r="F425" t="inlineStr">
        <is>
          <t>KRONOBERGS LÄN</t>
        </is>
      </c>
      <c r="G425" t="inlineStr">
        <is>
          <t>ÄLMHULT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44858</v>
      </c>
      <c r="E426" s="1" t="n">
        <v>46251</v>
      </c>
      <c r="F426" t="inlineStr">
        <is>
          <t>KRONOBERGS LÄN</t>
        </is>
      </c>
      <c r="G426" t="inlineStr">
        <is>
          <t>ÄLMHULT</t>
        </is>
      </c>
      <c r="I426" t="n">
        <v>14.2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46251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46251</v>
      </c>
      <c r="F428" t="inlineStr">
        <is>
          <t>KRONOBERGS LÄN</t>
        </is>
      </c>
      <c r="G428" t="inlineStr">
        <is>
          <t>ÄLMHULT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48156-2024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46251</v>
      </c>
      <c r="F429" t="inlineStr">
        <is>
          <t>KRONOBERGS LÄN</t>
        </is>
      </c>
      <c r="G429" t="inlineStr">
        <is>
          <t>ÄLMHULT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46251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44855-2021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44438</v>
      </c>
      <c r="E431" s="1" t="n">
        <v>46251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45374</v>
      </c>
      <c r="E432" s="1" t="n">
        <v>46251</v>
      </c>
      <c r="F432" t="inlineStr">
        <is>
          <t>KRONOBERGS LÄN</t>
        </is>
      </c>
      <c r="G432" t="inlineStr">
        <is>
          <t>ÄLMHULT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31872-2022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44777</v>
      </c>
      <c r="E433" s="1" t="n">
        <v>46251</v>
      </c>
      <c r="F433" t="inlineStr">
        <is>
          <t>KRONOBERGS LÄN</t>
        </is>
      </c>
      <c r="G433" t="inlineStr">
        <is>
          <t>ÄLMHULT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46251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46251</v>
      </c>
      <c r="F435" t="inlineStr">
        <is>
          <t>KRONOBERGS LÄN</t>
        </is>
      </c>
      <c r="G435" t="inlineStr">
        <is>
          <t>ÄLMHULT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45653</v>
      </c>
      <c r="E436" s="1" t="n">
        <v>46251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46251</v>
      </c>
      <c r="F437" t="inlineStr">
        <is>
          <t>KRONOBERGS LÄN</t>
        </is>
      </c>
      <c r="G437" t="inlineStr">
        <is>
          <t>ÄLMHULT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46251</v>
      </c>
      <c r="F438" t="inlineStr">
        <is>
          <t>KRONOBERGS LÄN</t>
        </is>
      </c>
      <c r="G438" t="inlineStr">
        <is>
          <t>ÄLMHULT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46251</v>
      </c>
      <c r="F439" t="inlineStr">
        <is>
          <t>KRONOBERGS LÄN</t>
        </is>
      </c>
      <c r="G439" t="inlineStr">
        <is>
          <t>ÄLMHULT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43876-2021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44434</v>
      </c>
      <c r="E440" s="1" t="n">
        <v>46251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46251</v>
      </c>
      <c r="F441" t="inlineStr">
        <is>
          <t>KRONOBERGS LÄN</t>
        </is>
      </c>
      <c r="G441" t="inlineStr">
        <is>
          <t>ÄLMHULT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58490-2023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46251</v>
      </c>
      <c r="F442" t="inlineStr">
        <is>
          <t>KRONOBERGS LÄN</t>
        </is>
      </c>
      <c r="G442" t="inlineStr">
        <is>
          <t>ÄLMHULT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46251</v>
      </c>
      <c r="F443" t="inlineStr">
        <is>
          <t>KRONOBERGS LÄN</t>
        </is>
      </c>
      <c r="G443" t="inlineStr">
        <is>
          <t>ÄLMHULT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45049</v>
      </c>
      <c r="E444" s="1" t="n">
        <v>46251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46251</v>
      </c>
      <c r="F445" t="inlineStr">
        <is>
          <t>KRONOBERGS LÄN</t>
        </is>
      </c>
      <c r="G445" t="inlineStr">
        <is>
          <t>ÄLMHULT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63569-2021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44508</v>
      </c>
      <c r="E446" s="1" t="n">
        <v>46251</v>
      </c>
      <c r="F446" t="inlineStr">
        <is>
          <t>KRONOBERGS LÄN</t>
        </is>
      </c>
      <c r="G446" t="inlineStr">
        <is>
          <t>ÄLMHULT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45443</v>
      </c>
      <c r="E447" s="1" t="n">
        <v>46251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46251</v>
      </c>
      <c r="F448" t="inlineStr">
        <is>
          <t>KRONOBERGS LÄN</t>
        </is>
      </c>
      <c r="G448" t="inlineStr">
        <is>
          <t>ÄLMHULT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46251</v>
      </c>
      <c r="F449" t="inlineStr">
        <is>
          <t>KRONOBERGS LÄN</t>
        </is>
      </c>
      <c r="G449" t="inlineStr">
        <is>
          <t>ÄLMHULT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46251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44921</v>
      </c>
      <c r="E451" s="1" t="n">
        <v>46251</v>
      </c>
      <c r="F451" t="inlineStr">
        <is>
          <t>KRONOBERGS LÄN</t>
        </is>
      </c>
      <c r="G451" t="inlineStr">
        <is>
          <t>ÄLMHULT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45001</v>
      </c>
      <c r="E452" s="1" t="n">
        <v>46251</v>
      </c>
      <c r="F452" t="inlineStr">
        <is>
          <t>KRONOBERGS LÄN</t>
        </is>
      </c>
      <c r="G452" t="inlineStr">
        <is>
          <t>ÄLMHULT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46251</v>
      </c>
      <c r="F453" t="inlineStr">
        <is>
          <t>KRONOBERGS LÄN</t>
        </is>
      </c>
      <c r="G453" t="inlineStr">
        <is>
          <t>ÄLMHULT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46251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12339-2024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45378</v>
      </c>
      <c r="E455" s="1" t="n">
        <v>46251</v>
      </c>
      <c r="F455" t="inlineStr">
        <is>
          <t>KRONOBERGS LÄN</t>
        </is>
      </c>
      <c r="G455" t="inlineStr">
        <is>
          <t>ÄLMHULT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39022-2022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44817</v>
      </c>
      <c r="E456" s="1" t="n">
        <v>46251</v>
      </c>
      <c r="F456" t="inlineStr">
        <is>
          <t>KRONOBERGS LÄN</t>
        </is>
      </c>
      <c r="G456" t="inlineStr">
        <is>
          <t>ÄLMHULT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45759</v>
      </c>
      <c r="E457" s="1" t="n">
        <v>46251</v>
      </c>
      <c r="F457" t="inlineStr">
        <is>
          <t>KRONOBERGS LÄN</t>
        </is>
      </c>
      <c r="G457" t="inlineStr">
        <is>
          <t>ÄLMHULT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45314</v>
      </c>
      <c r="E458" s="1" t="n">
        <v>46251</v>
      </c>
      <c r="F458" t="inlineStr">
        <is>
          <t>KRONOBERGS LÄN</t>
        </is>
      </c>
      <c r="G458" t="inlineStr">
        <is>
          <t>ÄLMHULT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46251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46251</v>
      </c>
      <c r="F460" t="inlineStr">
        <is>
          <t>KRONOBERGS LÄN</t>
        </is>
      </c>
      <c r="G460" t="inlineStr">
        <is>
          <t>ÄLMHULT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48159-2024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45589</v>
      </c>
      <c r="E461" s="1" t="n">
        <v>46251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46251</v>
      </c>
      <c r="F462" t="inlineStr">
        <is>
          <t>KRONOBERGS LÄN</t>
        </is>
      </c>
      <c r="G462" t="inlineStr">
        <is>
          <t>ÄLMHULT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46251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46251</v>
      </c>
      <c r="F464" t="inlineStr">
        <is>
          <t>KRONOBERGS LÄN</t>
        </is>
      </c>
      <c r="G464" t="inlineStr">
        <is>
          <t>ÄLMHULT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43140-2024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45567</v>
      </c>
      <c r="E465" s="1" t="n">
        <v>46251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45352</v>
      </c>
      <c r="E466" s="1" t="n">
        <v>46251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45315</v>
      </c>
      <c r="E467" s="1" t="n">
        <v>46251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44928</v>
      </c>
      <c r="E468" s="1" t="n">
        <v>46251</v>
      </c>
      <c r="F468" t="inlineStr">
        <is>
          <t>KRONOBERGS LÄN</t>
        </is>
      </c>
      <c r="G468" t="inlineStr">
        <is>
          <t>ÄLMHULT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45209</v>
      </c>
      <c r="E469" s="1" t="n">
        <v>46251</v>
      </c>
      <c r="F469" t="inlineStr">
        <is>
          <t>KRONOBERGS LÄN</t>
        </is>
      </c>
      <c r="G469" t="inlineStr">
        <is>
          <t>ÄLMHULT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46251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45663</v>
      </c>
      <c r="E471" s="1" t="n">
        <v>46251</v>
      </c>
      <c r="F471" t="inlineStr">
        <is>
          <t>KRONOBERGS LÄN</t>
        </is>
      </c>
      <c r="G471" t="inlineStr">
        <is>
          <t>ÄLMHULT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45818</v>
      </c>
      <c r="E472" s="1" t="n">
        <v>46251</v>
      </c>
      <c r="F472" t="inlineStr">
        <is>
          <t>KRONOBERGS LÄN</t>
        </is>
      </c>
      <c r="G472" t="inlineStr">
        <is>
          <t>ÄLMHULT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45092</v>
      </c>
      <c r="E473" s="1" t="n">
        <v>46251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13606-2023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45006</v>
      </c>
      <c r="E474" s="1" t="n">
        <v>46251</v>
      </c>
      <c r="F474" t="inlineStr">
        <is>
          <t>KRONOBERGS LÄN</t>
        </is>
      </c>
      <c r="G474" t="inlineStr">
        <is>
          <t>ÄLMHULT</t>
        </is>
      </c>
      <c r="H474" t="inlineStr">
        <is>
          <t>Kommuner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26454-2023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46251</v>
      </c>
      <c r="F475" t="inlineStr">
        <is>
          <t>KRONOBERGS LÄN</t>
        </is>
      </c>
      <c r="G475" t="inlineStr">
        <is>
          <t>ÄLMHULT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20840-2025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45776</v>
      </c>
      <c r="E476" s="1" t="n">
        <v>46251</v>
      </c>
      <c r="F476" t="inlineStr">
        <is>
          <t>KRONOBERGS LÄN</t>
        </is>
      </c>
      <c r="G476" t="inlineStr">
        <is>
          <t>ÄLMHULT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45166</v>
      </c>
      <c r="E477" s="1" t="n">
        <v>46251</v>
      </c>
      <c r="F477" t="inlineStr">
        <is>
          <t>KRONOBERGS LÄN</t>
        </is>
      </c>
      <c r="G477" t="inlineStr">
        <is>
          <t>ÄLMHULT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45376</v>
      </c>
      <c r="E478" s="1" t="n">
        <v>46251</v>
      </c>
      <c r="F478" t="inlineStr">
        <is>
          <t>KRONOBERGS LÄN</t>
        </is>
      </c>
      <c r="G478" t="inlineStr">
        <is>
          <t>ÄLMHULT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46251</v>
      </c>
      <c r="F479" t="inlineStr">
        <is>
          <t>KRONOBERGS LÄN</t>
        </is>
      </c>
      <c r="G479" t="inlineStr">
        <is>
          <t>ÄLMHULT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46251</v>
      </c>
      <c r="F480" t="inlineStr">
        <is>
          <t>KRONOBERGS LÄN</t>
        </is>
      </c>
      <c r="G480" t="inlineStr">
        <is>
          <t>ÄLMHULT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71802-2021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44543</v>
      </c>
      <c r="E481" s="1" t="n">
        <v>46251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45155</v>
      </c>
      <c r="E482" s="1" t="n">
        <v>46251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45450</v>
      </c>
      <c r="E483" s="1" t="n">
        <v>46251</v>
      </c>
      <c r="F483" t="inlineStr">
        <is>
          <t>KRONOBERGS LÄN</t>
        </is>
      </c>
      <c r="G483" t="inlineStr">
        <is>
          <t>ÄLMHULT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45781</v>
      </c>
      <c r="E484" s="1" t="n">
        <v>46251</v>
      </c>
      <c r="F484" t="inlineStr">
        <is>
          <t>KRONOBERGS LÄN</t>
        </is>
      </c>
      <c r="G484" t="inlineStr">
        <is>
          <t>ÄLMHULT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46251</v>
      </c>
      <c r="F485" t="inlineStr">
        <is>
          <t>KRONOBERGS LÄN</t>
        </is>
      </c>
      <c r="G485" t="inlineStr">
        <is>
          <t>ÄLMHULT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45728</v>
      </c>
      <c r="E486" s="1" t="n">
        <v>46251</v>
      </c>
      <c r="F486" t="inlineStr">
        <is>
          <t>KRONOBERGS LÄN</t>
        </is>
      </c>
      <c r="G486" t="inlineStr">
        <is>
          <t>ÄLMHULT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67257-2021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44523</v>
      </c>
      <c r="E487" s="1" t="n">
        <v>46251</v>
      </c>
      <c r="F487" t="inlineStr">
        <is>
          <t>KRONOBERGS LÄN</t>
        </is>
      </c>
      <c r="G487" t="inlineStr">
        <is>
          <t>ÄLMHULT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46251</v>
      </c>
      <c r="F488" t="inlineStr">
        <is>
          <t>KRONOBERGS LÄN</t>
        </is>
      </c>
      <c r="G488" t="inlineStr">
        <is>
          <t>ÄLMHULT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55629-2021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44476</v>
      </c>
      <c r="E489" s="1" t="n">
        <v>46251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47281-2024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45586</v>
      </c>
      <c r="E490" s="1" t="n">
        <v>46251</v>
      </c>
      <c r="F490" t="inlineStr">
        <is>
          <t>KRONOBERGS LÄN</t>
        </is>
      </c>
      <c r="G490" t="inlineStr">
        <is>
          <t>ÄLMHULT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54734-2021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44473</v>
      </c>
      <c r="E491" s="1" t="n">
        <v>46251</v>
      </c>
      <c r="F491" t="inlineStr">
        <is>
          <t>KRONOBERGS LÄN</t>
        </is>
      </c>
      <c r="G491" t="inlineStr">
        <is>
          <t>ÄLMHULT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45638</v>
      </c>
      <c r="E492" s="1" t="n">
        <v>46251</v>
      </c>
      <c r="F492" t="inlineStr">
        <is>
          <t>KRONOBERGS LÄN</t>
        </is>
      </c>
      <c r="G492" t="inlineStr">
        <is>
          <t>ÄLMHULT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46251</v>
      </c>
      <c r="F493" t="inlineStr">
        <is>
          <t>KRONOBERGS LÄN</t>
        </is>
      </c>
      <c r="G493" t="inlineStr">
        <is>
          <t>ÄLMHULT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45407</v>
      </c>
      <c r="E494" s="1" t="n">
        <v>46251</v>
      </c>
      <c r="F494" t="inlineStr">
        <is>
          <t>KRONOBERGS LÄN</t>
        </is>
      </c>
      <c r="G494" t="inlineStr">
        <is>
          <t>ÄLMHULT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34848-2024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45527</v>
      </c>
      <c r="E495" s="1" t="n">
        <v>46251</v>
      </c>
      <c r="F495" t="inlineStr">
        <is>
          <t>KRONOBERGS LÄN</t>
        </is>
      </c>
      <c r="G495" t="inlineStr">
        <is>
          <t>ÄLMHULT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44958</v>
      </c>
      <c r="E496" s="1" t="n">
        <v>46251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46251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  <c r="Z497">
        <f>HYPERLINK("https://klasma.github.io/Logging_0765/knärot/A 27756-2023 karta knärot.png", "A 27756-2023")</f>
        <v/>
      </c>
      <c r="AA497">
        <f>HYPERLINK("https://klasma.github.io/Logging_0765/klagomål/A 27756-2023 FSC-klagomål.docx", "A 27756-2023")</f>
        <v/>
      </c>
      <c r="AB497">
        <f>HYPERLINK("https://klasma.github.io/Logging_0765/klagomålsmail/A 27756-2023 FSC-klagomål mail.docx", "A 27756-2023")</f>
        <v/>
      </c>
      <c r="AC497">
        <f>HYPERLINK("https://klasma.github.io/Logging_0765/tillsyn/A 27756-2023 tillsynsbegäran.docx", "A 27756-2023")</f>
        <v/>
      </c>
      <c r="AD497">
        <f>HYPERLINK("https://klasma.github.io/Logging_0765/tillsynsmail/A 27756-2023 tillsynsbegäran mail.docx", "A 27756-2023")</f>
        <v/>
      </c>
    </row>
    <row r="498" ht="15" customHeight="1">
      <c r="A498" t="inlineStr">
        <is>
          <t>A 10018-2025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45719</v>
      </c>
      <c r="E498" s="1" t="n">
        <v>46251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46251</v>
      </c>
      <c r="F499" t="inlineStr">
        <is>
          <t>KRONOBERGS LÄN</t>
        </is>
      </c>
      <c r="G499" t="inlineStr">
        <is>
          <t>ÄLMHULT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52171-2024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45608</v>
      </c>
      <c r="E500" s="1" t="n">
        <v>46251</v>
      </c>
      <c r="F500" t="inlineStr">
        <is>
          <t>KRONOBERGS LÄN</t>
        </is>
      </c>
      <c r="G500" t="inlineStr">
        <is>
          <t>ÄLMHULT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45156</v>
      </c>
      <c r="E501" s="1" t="n">
        <v>46251</v>
      </c>
      <c r="F501" t="inlineStr">
        <is>
          <t>KRONOBERGS LÄN</t>
        </is>
      </c>
      <c r="G501" t="inlineStr">
        <is>
          <t>ÄLMHULT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45946</v>
      </c>
      <c r="E502" s="1" t="n">
        <v>46251</v>
      </c>
      <c r="F502" t="inlineStr">
        <is>
          <t>KRONOBERGS LÄN</t>
        </is>
      </c>
      <c r="G502" t="inlineStr">
        <is>
          <t>ÄLMHULT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40909-2024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45558</v>
      </c>
      <c r="E503" s="1" t="n">
        <v>46251</v>
      </c>
      <c r="F503" t="inlineStr">
        <is>
          <t>KRONOBERGS LÄN</t>
        </is>
      </c>
      <c r="G503" t="inlineStr">
        <is>
          <t>ÄLMHULT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46251</v>
      </c>
      <c r="F504" t="inlineStr">
        <is>
          <t>KRONOBERGS LÄN</t>
        </is>
      </c>
      <c r="G504" t="inlineStr">
        <is>
          <t>ÄLMHULT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46216</v>
      </c>
      <c r="E505" s="1" t="n">
        <v>46251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46216</v>
      </c>
      <c r="E506" s="1" t="n">
        <v>46251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45133</v>
      </c>
      <c r="E507" s="1" t="n">
        <v>46251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46216</v>
      </c>
      <c r="E508" s="1" t="n">
        <v>46251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45355</v>
      </c>
      <c r="E509" s="1" t="n">
        <v>46251</v>
      </c>
      <c r="F509" t="inlineStr">
        <is>
          <t>KRONOBERGS LÄN</t>
        </is>
      </c>
      <c r="G509" t="inlineStr">
        <is>
          <t>ÄLMHULT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45355</v>
      </c>
      <c r="E510" s="1" t="n">
        <v>46251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43467-2025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45911</v>
      </c>
      <c r="E511" s="1" t="n">
        <v>46251</v>
      </c>
      <c r="F511" t="inlineStr">
        <is>
          <t>KRONOBERGS LÄN</t>
        </is>
      </c>
      <c r="G511" t="inlineStr">
        <is>
          <t>ÄLMHULT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46216</v>
      </c>
      <c r="E512" s="1" t="n">
        <v>46251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8949-2023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44979</v>
      </c>
      <c r="E513" s="1" t="n">
        <v>46251</v>
      </c>
      <c r="F513" t="inlineStr">
        <is>
          <t>KRONOBERGS LÄN</t>
        </is>
      </c>
      <c r="G513" t="inlineStr">
        <is>
          <t>ÄLMHULT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46216</v>
      </c>
      <c r="E514" s="1" t="n">
        <v>46251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46216</v>
      </c>
      <c r="E515" s="1" t="n">
        <v>46251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44672-2023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45189</v>
      </c>
      <c r="E516" s="1" t="n">
        <v>46251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45010</v>
      </c>
      <c r="E517" s="1" t="n">
        <v>46251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45539</v>
      </c>
      <c r="E518" s="1" t="n">
        <v>46251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45355</v>
      </c>
      <c r="E519" s="1" t="n">
        <v>46251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46251</v>
      </c>
      <c r="F520" t="inlineStr">
        <is>
          <t>KRONOBERGS LÄN</t>
        </is>
      </c>
      <c r="G520" t="inlineStr">
        <is>
          <t>ÄLMHULT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24722-2025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46251</v>
      </c>
      <c r="F521" t="inlineStr">
        <is>
          <t>KRONOBERGS LÄN</t>
        </is>
      </c>
      <c r="G521" t="inlineStr">
        <is>
          <t>ÄLMHULT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24638-2024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45460</v>
      </c>
      <c r="E522" s="1" t="n">
        <v>46251</v>
      </c>
      <c r="F522" t="inlineStr">
        <is>
          <t>KRONOBERGS LÄN</t>
        </is>
      </c>
      <c r="G522" t="inlineStr">
        <is>
          <t>ÄLMHULT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15988-2024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45405</v>
      </c>
      <c r="E523" s="1" t="n">
        <v>46251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45702</v>
      </c>
      <c r="E524" s="1" t="n">
        <v>46251</v>
      </c>
      <c r="F524" t="inlineStr">
        <is>
          <t>KRONOBERGS LÄN</t>
        </is>
      </c>
      <c r="G524" t="inlineStr">
        <is>
          <t>ÄLMHULT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45663</v>
      </c>
      <c r="E525" s="1" t="n">
        <v>46251</v>
      </c>
      <c r="F525" t="inlineStr">
        <is>
          <t>KRONOBERGS LÄN</t>
        </is>
      </c>
      <c r="G525" t="inlineStr">
        <is>
          <t>ÄLMHULT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64618-2021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44511</v>
      </c>
      <c r="E526" s="1" t="n">
        <v>46251</v>
      </c>
      <c r="F526" t="inlineStr">
        <is>
          <t>KRONOBERGS LÄN</t>
        </is>
      </c>
      <c r="G526" t="inlineStr">
        <is>
          <t>ÄLMHULT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64624-2021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44511</v>
      </c>
      <c r="E527" s="1" t="n">
        <v>46251</v>
      </c>
      <c r="F527" t="inlineStr">
        <is>
          <t>KRONOBERGS LÄN</t>
        </is>
      </c>
      <c r="G527" t="inlineStr">
        <is>
          <t>ÄLMHULT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45720</v>
      </c>
      <c r="E528" s="1" t="n">
        <v>46251</v>
      </c>
      <c r="F528" t="inlineStr">
        <is>
          <t>KRONOBERGS LÄN</t>
        </is>
      </c>
      <c r="G528" t="inlineStr">
        <is>
          <t>ÄLMHULT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25311-2024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45462</v>
      </c>
      <c r="E529" s="1" t="n">
        <v>46251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45804</v>
      </c>
      <c r="E530" s="1" t="n">
        <v>46251</v>
      </c>
      <c r="F530" t="inlineStr">
        <is>
          <t>KRONOBERGS LÄN</t>
        </is>
      </c>
      <c r="G530" t="inlineStr">
        <is>
          <t>ÄLMHULT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45049</v>
      </c>
      <c r="E531" s="1" t="n">
        <v>46251</v>
      </c>
      <c r="F531" t="inlineStr">
        <is>
          <t>KRONOBERGS LÄN</t>
        </is>
      </c>
      <c r="G531" t="inlineStr">
        <is>
          <t>ÄLMHULT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46251</v>
      </c>
      <c r="F532" t="inlineStr">
        <is>
          <t>KRONOBERGS LÄN</t>
        </is>
      </c>
      <c r="G532" t="inlineStr">
        <is>
          <t>ÄLMHULT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64773-2023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45282</v>
      </c>
      <c r="E533" s="1" t="n">
        <v>46251</v>
      </c>
      <c r="F533" t="inlineStr">
        <is>
          <t>KRONOBERGS LÄN</t>
        </is>
      </c>
      <c r="G533" t="inlineStr">
        <is>
          <t>ÄLMHULT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18440-2022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44686</v>
      </c>
      <c r="E534" s="1" t="n">
        <v>46251</v>
      </c>
      <c r="F534" t="inlineStr">
        <is>
          <t>KRONOBERGS LÄN</t>
        </is>
      </c>
      <c r="G534" t="inlineStr">
        <is>
          <t>ÄLMHULT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46251</v>
      </c>
      <c r="F535" t="inlineStr">
        <is>
          <t>KRONOBERGS LÄN</t>
        </is>
      </c>
      <c r="G535" t="inlineStr">
        <is>
          <t>ÄLMHULT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46226</v>
      </c>
      <c r="E536" s="1" t="n">
        <v>46251</v>
      </c>
      <c r="F536" t="inlineStr">
        <is>
          <t>KRONOBERGS LÄN</t>
        </is>
      </c>
      <c r="G536" t="inlineStr">
        <is>
          <t>ÄLMHULT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46251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46226</v>
      </c>
      <c r="E538" s="1" t="n">
        <v>46251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12112-2022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44636</v>
      </c>
      <c r="E539" s="1" t="n">
        <v>46251</v>
      </c>
      <c r="F539" t="inlineStr">
        <is>
          <t>KRONOBERGS LÄN</t>
        </is>
      </c>
      <c r="G539" t="inlineStr">
        <is>
          <t>ÄLMHULT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46226</v>
      </c>
      <c r="E540" s="1" t="n">
        <v>46251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45548</v>
      </c>
      <c r="E541" s="1" t="n">
        <v>46251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46251</v>
      </c>
      <c r="F542" t="inlineStr">
        <is>
          <t>KRONOBERGS LÄN</t>
        </is>
      </c>
      <c r="G542" t="inlineStr">
        <is>
          <t>ÄLMHULT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45695</v>
      </c>
      <c r="E543" s="1" t="n">
        <v>46251</v>
      </c>
      <c r="F543" t="inlineStr">
        <is>
          <t>KRONOBERGS LÄN</t>
        </is>
      </c>
      <c r="G543" t="inlineStr">
        <is>
          <t>ÄLMHULT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45612</v>
      </c>
      <c r="E544" s="1" t="n">
        <v>46251</v>
      </c>
      <c r="F544" t="inlineStr">
        <is>
          <t>KRONOBERGS LÄN</t>
        </is>
      </c>
      <c r="G544" t="inlineStr">
        <is>
          <t>ÄLMHULT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46227</v>
      </c>
      <c r="E545" s="1" t="n">
        <v>46251</v>
      </c>
      <c r="F545" t="inlineStr">
        <is>
          <t>KRONOBERGS LÄN</t>
        </is>
      </c>
      <c r="G545" t="inlineStr">
        <is>
          <t>ÄLMHULT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46227</v>
      </c>
      <c r="E546" s="1" t="n">
        <v>46251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46472-2023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46251</v>
      </c>
      <c r="F547" t="inlineStr">
        <is>
          <t>KRONOBERGS LÄN</t>
        </is>
      </c>
      <c r="G547" t="inlineStr">
        <is>
          <t>ÄLMHULT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46251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46251</v>
      </c>
      <c r="F549" t="inlineStr">
        <is>
          <t>KRONOBERGS LÄN</t>
        </is>
      </c>
      <c r="G549" t="inlineStr">
        <is>
          <t>ÄLMHULT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9883-2025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45716</v>
      </c>
      <c r="E550" s="1" t="n">
        <v>46251</v>
      </c>
      <c r="F550" t="inlineStr">
        <is>
          <t>KRONOBERGS LÄN</t>
        </is>
      </c>
      <c r="G550" t="inlineStr">
        <is>
          <t>ÄLMHULT</t>
        </is>
      </c>
      <c r="H550" t="inlineStr">
        <is>
          <t>Sveaskog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69454-2021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44531</v>
      </c>
      <c r="E551" s="1" t="n">
        <v>46251</v>
      </c>
      <c r="F551" t="inlineStr">
        <is>
          <t>KRONOBERGS LÄN</t>
        </is>
      </c>
      <c r="G551" t="inlineStr">
        <is>
          <t>ÄLMHULT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3810-2022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44587</v>
      </c>
      <c r="E552" s="1" t="n">
        <v>46251</v>
      </c>
      <c r="F552" t="inlineStr">
        <is>
          <t>KRONOBERGS LÄN</t>
        </is>
      </c>
      <c r="G552" t="inlineStr">
        <is>
          <t>ÄLMHULT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45062</v>
      </c>
      <c r="E553" s="1" t="n">
        <v>46251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45677</v>
      </c>
      <c r="E554" s="1" t="n">
        <v>46251</v>
      </c>
      <c r="F554" t="inlineStr">
        <is>
          <t>KRONOBERGS LÄN</t>
        </is>
      </c>
      <c r="G554" t="inlineStr">
        <is>
          <t>ÄLMHULT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46251</v>
      </c>
      <c r="F555" t="inlineStr">
        <is>
          <t>KRONOBERGS LÄN</t>
        </is>
      </c>
      <c r="G555" t="inlineStr">
        <is>
          <t>ÄLMHULT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44592</v>
      </c>
      <c r="E556" s="1" t="n">
        <v>46251</v>
      </c>
      <c r="F556" t="inlineStr">
        <is>
          <t>KRONOBERGS LÄN</t>
        </is>
      </c>
      <c r="G556" t="inlineStr">
        <is>
          <t>ÄLMHULT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45335</v>
      </c>
      <c r="E557" s="1" t="n">
        <v>46251</v>
      </c>
      <c r="F557" t="inlineStr">
        <is>
          <t>KRONOBERGS LÄN</t>
        </is>
      </c>
      <c r="G557" t="inlineStr">
        <is>
          <t>ÄLMHULT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46251</v>
      </c>
      <c r="F558" t="inlineStr">
        <is>
          <t>KRONOBERGS LÄN</t>
        </is>
      </c>
      <c r="G558" t="inlineStr">
        <is>
          <t>ÄLMHULT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21470-2024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45441</v>
      </c>
      <c r="E559" s="1" t="n">
        <v>46251</v>
      </c>
      <c r="F559" t="inlineStr">
        <is>
          <t>KRONOBERGS LÄN</t>
        </is>
      </c>
      <c r="G559" t="inlineStr">
        <is>
          <t>ÄLMHULT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45334</v>
      </c>
      <c r="E560" s="1" t="n">
        <v>46251</v>
      </c>
      <c r="F560" t="inlineStr">
        <is>
          <t>KRONOBERGS LÄN</t>
        </is>
      </c>
      <c r="G560" t="inlineStr">
        <is>
          <t>ÄLMHULT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61970-2024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45653</v>
      </c>
      <c r="E561" s="1" t="n">
        <v>46251</v>
      </c>
      <c r="F561" t="inlineStr">
        <is>
          <t>KRONOBERGS LÄN</t>
        </is>
      </c>
      <c r="G561" t="inlineStr">
        <is>
          <t>ÄLMHULT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48559-2022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46251</v>
      </c>
      <c r="F562" t="inlineStr">
        <is>
          <t>KRONOBERGS LÄN</t>
        </is>
      </c>
      <c r="G562" t="inlineStr">
        <is>
          <t>ÄLMHULT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11782-2022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44634</v>
      </c>
      <c r="E563" s="1" t="n">
        <v>46251</v>
      </c>
      <c r="F563" t="inlineStr">
        <is>
          <t>KRONOBERGS LÄN</t>
        </is>
      </c>
      <c r="G563" t="inlineStr">
        <is>
          <t>ÄLMHULT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49292-2022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44861</v>
      </c>
      <c r="E564" s="1" t="n">
        <v>46251</v>
      </c>
      <c r="F564" t="inlineStr">
        <is>
          <t>KRONOBERGS LÄN</t>
        </is>
      </c>
      <c r="G564" t="inlineStr">
        <is>
          <t>ÄLMHULT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45625</v>
      </c>
      <c r="E565" s="1" t="n">
        <v>46251</v>
      </c>
      <c r="F565" t="inlineStr">
        <is>
          <t>KRONOBERGS LÄN</t>
        </is>
      </c>
      <c r="G565" t="inlineStr">
        <is>
          <t>ÄLMHULT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45716</v>
      </c>
      <c r="E566" s="1" t="n">
        <v>46251</v>
      </c>
      <c r="F566" t="inlineStr">
        <is>
          <t>KRONOBERGS LÄN</t>
        </is>
      </c>
      <c r="G566" t="inlineStr">
        <is>
          <t>ÄLMHULT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46251</v>
      </c>
      <c r="F567" t="inlineStr">
        <is>
          <t>KRONOBERGS LÄN</t>
        </is>
      </c>
      <c r="G567" t="inlineStr">
        <is>
          <t>ÄLMHULT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20120-2022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44698</v>
      </c>
      <c r="E568" s="1" t="n">
        <v>46251</v>
      </c>
      <c r="F568" t="inlineStr">
        <is>
          <t>KRONOBERGS LÄN</t>
        </is>
      </c>
      <c r="G568" t="inlineStr">
        <is>
          <t>ÄLMHULT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19803-2025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45771</v>
      </c>
      <c r="E569" s="1" t="n">
        <v>46251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46251</v>
      </c>
      <c r="F570" t="inlineStr">
        <is>
          <t>KRONOBERGS LÄN</t>
        </is>
      </c>
      <c r="G570" t="inlineStr">
        <is>
          <t>ÄLMHULT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32126-2026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46234</v>
      </c>
      <c r="E571" s="1" t="n">
        <v>46251</v>
      </c>
      <c r="F571" t="inlineStr">
        <is>
          <t>KRONOBERGS LÄN</t>
        </is>
      </c>
      <c r="G571" t="inlineStr">
        <is>
          <t>ÄLMHULT</t>
        </is>
      </c>
      <c r="H571" t="inlineStr">
        <is>
          <t>Kommuner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12718-2022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44641</v>
      </c>
      <c r="E572" s="1" t="n">
        <v>46251</v>
      </c>
      <c r="F572" t="inlineStr">
        <is>
          <t>KRONOBERGS LÄN</t>
        </is>
      </c>
      <c r="G572" t="inlineStr">
        <is>
          <t>ÄLMHULT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57315-2023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45240</v>
      </c>
      <c r="E573" s="1" t="n">
        <v>46251</v>
      </c>
      <c r="F573" t="inlineStr">
        <is>
          <t>KRONOBERGS LÄN</t>
        </is>
      </c>
      <c r="G573" t="inlineStr">
        <is>
          <t>ÄLMHULT</t>
        </is>
      </c>
      <c r="H573" t="inlineStr">
        <is>
          <t>Kyrkan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46251</v>
      </c>
      <c r="F574" t="inlineStr">
        <is>
          <t>KRONOBERGS LÄN</t>
        </is>
      </c>
      <c r="G574" t="inlineStr">
        <is>
          <t>ÄLMHULT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45792</v>
      </c>
      <c r="E575" s="1" t="n">
        <v>46251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45839</v>
      </c>
      <c r="E576" s="1" t="n">
        <v>46251</v>
      </c>
      <c r="F576" t="inlineStr">
        <is>
          <t>KRONOBERGS LÄN</t>
        </is>
      </c>
      <c r="G576" t="inlineStr">
        <is>
          <t>ÄLMHULT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33858-2025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46251</v>
      </c>
      <c r="F577" t="inlineStr">
        <is>
          <t>KRONOBERGS LÄN</t>
        </is>
      </c>
      <c r="G577" t="inlineStr">
        <is>
          <t>ÄLMHULT</t>
        </is>
      </c>
      <c r="I577" t="n">
        <v>14.1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24503-2024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45460</v>
      </c>
      <c r="E578" s="1" t="n">
        <v>46251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45693</v>
      </c>
      <c r="E579" s="1" t="n">
        <v>46251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33754-2025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45842</v>
      </c>
      <c r="E580" s="1" t="n">
        <v>46251</v>
      </c>
      <c r="F580" t="inlineStr">
        <is>
          <t>KRONOBERGS LÄN</t>
        </is>
      </c>
      <c r="G580" t="inlineStr">
        <is>
          <t>ÄLMHULT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45698</v>
      </c>
      <c r="E581" s="1" t="n">
        <v>46251</v>
      </c>
      <c r="F581" t="inlineStr">
        <is>
          <t>KRONOBERGS LÄN</t>
        </is>
      </c>
      <c r="G581" t="inlineStr">
        <is>
          <t>ÄLMHULT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46251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46251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45529</v>
      </c>
      <c r="E584" s="1" t="n">
        <v>46251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45846</v>
      </c>
      <c r="E585" s="1" t="n">
        <v>46251</v>
      </c>
      <c r="F585" t="inlineStr">
        <is>
          <t>KRONOBERGS LÄN</t>
        </is>
      </c>
      <c r="G585" t="inlineStr">
        <is>
          <t>ÄLMHULT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45845</v>
      </c>
      <c r="E586" s="1" t="n">
        <v>46251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46251</v>
      </c>
      <c r="F587" t="inlineStr">
        <is>
          <t>KRONOBERGS LÄN</t>
        </is>
      </c>
      <c r="G587" t="inlineStr">
        <is>
          <t>ÄLMHULT</t>
        </is>
      </c>
      <c r="H587" t="inlineStr">
        <is>
          <t>Kyrkan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47425-2023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45202</v>
      </c>
      <c r="E588" s="1" t="n">
        <v>46251</v>
      </c>
      <c r="F588" t="inlineStr">
        <is>
          <t>KRONOBERGS LÄN</t>
        </is>
      </c>
      <c r="G588" t="inlineStr">
        <is>
          <t>ÄLMHULT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11348-2025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45726</v>
      </c>
      <c r="E589" s="1" t="n">
        <v>46251</v>
      </c>
      <c r="F589" t="inlineStr">
        <is>
          <t>KRONOBERGS LÄN</t>
        </is>
      </c>
      <c r="G589" t="inlineStr">
        <is>
          <t>ÄLMHULT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11352-2025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45726</v>
      </c>
      <c r="E590" s="1" t="n">
        <v>46251</v>
      </c>
      <c r="F590" t="inlineStr">
        <is>
          <t>KRONOBERGS LÄN</t>
        </is>
      </c>
      <c r="G590" t="inlineStr">
        <is>
          <t>ÄLMHULT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45854</v>
      </c>
      <c r="E591" s="1" t="n">
        <v>46251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45763</v>
      </c>
      <c r="E592" s="1" t="n">
        <v>46251</v>
      </c>
      <c r="F592" t="inlineStr">
        <is>
          <t>KRONOBERGS LÄN</t>
        </is>
      </c>
      <c r="G592" t="inlineStr">
        <is>
          <t>ÄLMHULT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18750-2025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45763</v>
      </c>
      <c r="E593" s="1" t="n">
        <v>46251</v>
      </c>
      <c r="F593" t="inlineStr">
        <is>
          <t>KRONOBERGS LÄN</t>
        </is>
      </c>
      <c r="G593" t="inlineStr">
        <is>
          <t>ÄLMHULT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46067-2024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45581</v>
      </c>
      <c r="E594" s="1" t="n">
        <v>46251</v>
      </c>
      <c r="F594" t="inlineStr">
        <is>
          <t>KRONOBERGS LÄN</t>
        </is>
      </c>
      <c r="G594" t="inlineStr">
        <is>
          <t>ÄLMHULT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45819</v>
      </c>
      <c r="E595" s="1" t="n">
        <v>46251</v>
      </c>
      <c r="F595" t="inlineStr">
        <is>
          <t>KRONOBERGS LÄN</t>
        </is>
      </c>
      <c r="G595" t="inlineStr">
        <is>
          <t>ÄLMHULT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44979</v>
      </c>
      <c r="E596" s="1" t="n">
        <v>46251</v>
      </c>
      <c r="F596" t="inlineStr">
        <is>
          <t>KRONOBERGS LÄN</t>
        </is>
      </c>
      <c r="G596" t="inlineStr">
        <is>
          <t>ÄLMHULT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46251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46251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45631</v>
      </c>
      <c r="E599" s="1" t="n">
        <v>46251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46251</v>
      </c>
      <c r="F600" t="inlineStr">
        <is>
          <t>KRONOBERGS LÄN</t>
        </is>
      </c>
      <c r="G600" t="inlineStr">
        <is>
          <t>ÄLMHULT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28686-2026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46251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45867</v>
      </c>
      <c r="E602" s="1" t="n">
        <v>46251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28693-2026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46198</v>
      </c>
      <c r="E603" s="1" t="n">
        <v>46251</v>
      </c>
      <c r="F603" t="inlineStr">
        <is>
          <t>KRONOBERGS LÄN</t>
        </is>
      </c>
      <c r="G603" t="inlineStr">
        <is>
          <t>ÄLMHULT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45581</v>
      </c>
      <c r="E604" s="1" t="n">
        <v>46251</v>
      </c>
      <c r="F604" t="inlineStr">
        <is>
          <t>KRONOBERGS LÄN</t>
        </is>
      </c>
      <c r="G604" t="inlineStr">
        <is>
          <t>ÄLMHULT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28707-2026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46251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46240</v>
      </c>
      <c r="E606" s="1" t="n">
        <v>46251</v>
      </c>
      <c r="F606" t="inlineStr">
        <is>
          <t>KRONOBERGS LÄN</t>
        </is>
      </c>
      <c r="G606" t="inlineStr">
        <is>
          <t>ÄLMHULT</t>
        </is>
      </c>
      <c r="H606" t="inlineStr">
        <is>
          <t>Kyrkan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32778-2026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46240</v>
      </c>
      <c r="E607" s="1" t="n">
        <v>46251</v>
      </c>
      <c r="F607" t="inlineStr">
        <is>
          <t>KRONOBERGS LÄN</t>
        </is>
      </c>
      <c r="G607" t="inlineStr">
        <is>
          <t>ÄLMHULT</t>
        </is>
      </c>
      <c r="H607" t="inlineStr">
        <is>
          <t>Kyrkan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46240</v>
      </c>
      <c r="E608" s="1" t="n">
        <v>46251</v>
      </c>
      <c r="F608" t="inlineStr">
        <is>
          <t>KRONOBERGS LÄN</t>
        </is>
      </c>
      <c r="G608" t="inlineStr">
        <is>
          <t>ÄLMHULT</t>
        </is>
      </c>
      <c r="H608" t="inlineStr">
        <is>
          <t>Kyrkan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46246</v>
      </c>
      <c r="E609" s="1" t="n">
        <v>46251</v>
      </c>
      <c r="F609" t="inlineStr">
        <is>
          <t>KRONOBERGS LÄN</t>
        </is>
      </c>
      <c r="G609" t="inlineStr">
        <is>
          <t>ÄLMHULT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33105-2026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46245</v>
      </c>
      <c r="E610" s="1" t="n">
        <v>46251</v>
      </c>
      <c r="F610" t="inlineStr">
        <is>
          <t>KRONOBERGS LÄN</t>
        </is>
      </c>
      <c r="G610" t="inlineStr">
        <is>
          <t>ÄLMHULT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46251</v>
      </c>
      <c r="F611" t="inlineStr">
        <is>
          <t>KRONOBERGS LÄN</t>
        </is>
      </c>
      <c r="G611" t="inlineStr">
        <is>
          <t>ÄLMHULT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46245</v>
      </c>
      <c r="E612" s="1" t="n">
        <v>46251</v>
      </c>
      <c r="F612" t="inlineStr">
        <is>
          <t>KRONOBERGS LÄN</t>
        </is>
      </c>
      <c r="G612" t="inlineStr">
        <is>
          <t>ÄLMHULT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46251</v>
      </c>
      <c r="F613" t="inlineStr">
        <is>
          <t>KRONOBERGS LÄN</t>
        </is>
      </c>
      <c r="G613" t="inlineStr">
        <is>
          <t>ÄLMHULT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46251</v>
      </c>
      <c r="F614" t="inlineStr">
        <is>
          <t>KRONOBERGS LÄN</t>
        </is>
      </c>
      <c r="G614" t="inlineStr">
        <is>
          <t>ÄLMHULT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46247</v>
      </c>
      <c r="E615" s="1" t="n">
        <v>46251</v>
      </c>
      <c r="F615" t="inlineStr">
        <is>
          <t>KRONOBERGS LÄN</t>
        </is>
      </c>
      <c r="G615" t="inlineStr">
        <is>
          <t>ÄLMHULT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29642-2026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46251</v>
      </c>
      <c r="F616" t="inlineStr">
        <is>
          <t>KRONOBERGS LÄN</t>
        </is>
      </c>
      <c r="G616" t="inlineStr">
        <is>
          <t>ÄLMHULT</t>
        </is>
      </c>
      <c r="I616" t="n">
        <v>8.6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46251</v>
      </c>
      <c r="F617" t="inlineStr">
        <is>
          <t>KRONOBERGS LÄN</t>
        </is>
      </c>
      <c r="G617" t="inlineStr">
        <is>
          <t>ÄLMHULT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29636-2026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46204</v>
      </c>
      <c r="E618" s="1" t="n">
        <v>46251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46251</v>
      </c>
      <c r="F619" t="inlineStr">
        <is>
          <t>KRONOBERGS LÄN</t>
        </is>
      </c>
      <c r="G619" t="inlineStr">
        <is>
          <t>ÄLMHULT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29775-2026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46251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46251</v>
      </c>
      <c r="F621" t="inlineStr">
        <is>
          <t>KRONOBERGS LÄN</t>
        </is>
      </c>
      <c r="G621" t="inlineStr">
        <is>
          <t>ÄLMHULT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33688-2026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46248</v>
      </c>
      <c r="E622" s="1" t="n">
        <v>46251</v>
      </c>
      <c r="F622" t="inlineStr">
        <is>
          <t>KRONOBERGS LÄN</t>
        </is>
      </c>
      <c r="G622" t="inlineStr">
        <is>
          <t>ÄLMHULT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33673-2026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46248</v>
      </c>
      <c r="E623" s="1" t="n">
        <v>46251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46247</v>
      </c>
      <c r="E624" s="1" t="n">
        <v>46251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46251</v>
      </c>
      <c r="F625" t="inlineStr">
        <is>
          <t>KRONOBERGS LÄN</t>
        </is>
      </c>
      <c r="G625" t="inlineStr">
        <is>
          <t>ÄLMHULT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1420-2022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44634</v>
      </c>
      <c r="E626" s="1" t="n">
        <v>46251</v>
      </c>
      <c r="F626" t="inlineStr">
        <is>
          <t>KRONOBERGS LÄN</t>
        </is>
      </c>
      <c r="G626" t="inlineStr">
        <is>
          <t>ÄLMHULT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1835-2022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44658</v>
      </c>
      <c r="E627" s="1" t="n">
        <v>46251</v>
      </c>
      <c r="F627" t="inlineStr">
        <is>
          <t>KRONOBERGS LÄN</t>
        </is>
      </c>
      <c r="G627" t="inlineStr">
        <is>
          <t>ÄLMHULT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1203-2022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44621</v>
      </c>
      <c r="E628" s="1" t="n">
        <v>46251</v>
      </c>
      <c r="F628" t="inlineStr">
        <is>
          <t>KRONOBERGS LÄN</t>
        </is>
      </c>
      <c r="G628" t="inlineStr">
        <is>
          <t>ÄLMHULT</t>
        </is>
      </c>
      <c r="I628" t="n">
        <v>44.9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901-2022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44607</v>
      </c>
      <c r="E629" s="1" t="n">
        <v>46251</v>
      </c>
      <c r="F629" t="inlineStr">
        <is>
          <t>KRONOBERGS LÄN</t>
        </is>
      </c>
      <c r="G629" t="inlineStr">
        <is>
          <t>ÄLMHULT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3507-2022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44733</v>
      </c>
      <c r="E630" s="1" t="n">
        <v>46251</v>
      </c>
      <c r="F630" t="inlineStr">
        <is>
          <t>KRONOBERGS LÄN</t>
        </is>
      </c>
      <c r="G630" t="inlineStr">
        <is>
          <t>ÄLMHULT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6219-2021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44447</v>
      </c>
      <c r="E631" s="1" t="n">
        <v>46251</v>
      </c>
      <c r="F631" t="inlineStr">
        <is>
          <t>KRONOBERGS LÄN</t>
        </is>
      </c>
      <c r="G631" t="inlineStr">
        <is>
          <t>ÄLMHULT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7500-2021</t>
        </is>
      </c>
      <c r="B632" t="inlineStr">
        <is>
          <t>samrådsanmälan</t>
        </is>
      </c>
      <c r="C632" t="inlineStr">
        <is>
          <t>Åtgärd i nyckelbiotop</t>
        </is>
      </c>
      <c r="D632" s="1" t="n">
        <v>44474</v>
      </c>
      <c r="E632" s="1" t="n">
        <v>46251</v>
      </c>
      <c r="F632" t="inlineStr">
        <is>
          <t>KRONOBERGS LÄN</t>
        </is>
      </c>
      <c r="G632" t="inlineStr">
        <is>
          <t>ÄLMHULT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106-2024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45302</v>
      </c>
      <c r="E633" s="1" t="n">
        <v>46251</v>
      </c>
      <c r="F633" t="inlineStr">
        <is>
          <t>KRONOBERGS LÄN</t>
        </is>
      </c>
      <c r="G633" t="inlineStr">
        <is>
          <t>ÄLMHULT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2570-2024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45476</v>
      </c>
      <c r="E634" s="1" t="n">
        <v>46251</v>
      </c>
      <c r="F634" t="inlineStr">
        <is>
          <t>KRONOBERGS LÄN</t>
        </is>
      </c>
      <c r="G634" t="inlineStr">
        <is>
          <t>ÄLMHULT</t>
        </is>
      </c>
      <c r="I634" t="n">
        <v>27.8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5163-2024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45649</v>
      </c>
      <c r="E635" s="1" t="n">
        <v>46251</v>
      </c>
      <c r="F635" t="inlineStr">
        <is>
          <t>KRONOBERGS LÄN</t>
        </is>
      </c>
      <c r="G635" t="inlineStr">
        <is>
          <t>ÄLMHULT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786-2025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45728</v>
      </c>
      <c r="E636" s="1" t="n">
        <v>46251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3003-2025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45953</v>
      </c>
      <c r="E637" s="1" t="n">
        <v>46251</v>
      </c>
      <c r="F637" t="inlineStr">
        <is>
          <t>KRONOBERGS LÄN</t>
        </is>
      </c>
      <c r="G637" t="inlineStr">
        <is>
          <t>ÄLMHULT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3102-2025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45967</v>
      </c>
      <c r="E638" s="1" t="n">
        <v>46251</v>
      </c>
      <c r="F638" t="inlineStr">
        <is>
          <t>KRONOBERGS LÄN</t>
        </is>
      </c>
      <c r="G638" t="inlineStr">
        <is>
          <t>ÄLMHULT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3553-2025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46010</v>
      </c>
      <c r="E639" s="1" t="n">
        <v>46251</v>
      </c>
      <c r="F639" t="inlineStr">
        <is>
          <t>KRONOBERGS LÄN</t>
        </is>
      </c>
      <c r="G639" t="inlineStr">
        <is>
          <t>ÄLMHULT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3552-2025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46010</v>
      </c>
      <c r="E640" s="1" t="n">
        <v>46251</v>
      </c>
      <c r="F640" t="inlineStr">
        <is>
          <t>KRONOBERGS LÄN</t>
        </is>
      </c>
      <c r="G640" t="inlineStr">
        <is>
          <t>ÄLMHULT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37-2026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46029</v>
      </c>
      <c r="E641" s="1" t="n">
        <v>46251</v>
      </c>
      <c r="F641" t="inlineStr">
        <is>
          <t>KRONOBERGS LÄN</t>
        </is>
      </c>
      <c r="G641" t="inlineStr">
        <is>
          <t>ÄLMHULT</t>
        </is>
      </c>
      <c r="H641" t="inlineStr">
        <is>
          <t>Sveaskog</t>
        </is>
      </c>
      <c r="I641" t="n">
        <v>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532-2026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46079</v>
      </c>
      <c r="E642" s="1" t="n">
        <v>46251</v>
      </c>
      <c r="F642" t="inlineStr">
        <is>
          <t>KRONOBERGS LÄN</t>
        </is>
      </c>
      <c r="G642" t="inlineStr">
        <is>
          <t>ÄLMHULT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743-2026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46094</v>
      </c>
      <c r="E643" s="1" t="n">
        <v>46251</v>
      </c>
      <c r="F643" t="inlineStr">
        <is>
          <t>KRONOBERGS LÄN</t>
        </is>
      </c>
      <c r="G643" t="inlineStr">
        <is>
          <t>ÄLMHULT</t>
        </is>
      </c>
      <c r="I643" t="n">
        <v>61.7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986-2026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46119</v>
      </c>
      <c r="E644" s="1" t="n">
        <v>46251</v>
      </c>
      <c r="F644" t="inlineStr">
        <is>
          <t>KRONOBERGS LÄN</t>
        </is>
      </c>
      <c r="G644" t="inlineStr">
        <is>
          <t>ÄLMHULT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2141-2026</t>
        </is>
      </c>
      <c r="B645" t="inlineStr">
        <is>
          <t>samrådsanmälan</t>
        </is>
      </c>
      <c r="C645" t="inlineStr">
        <is>
          <t>Skogsbilväg</t>
        </is>
      </c>
      <c r="D645" s="1" t="n">
        <v>46182</v>
      </c>
      <c r="E645" s="1" t="n">
        <v>46251</v>
      </c>
      <c r="F645" t="inlineStr">
        <is>
          <t>KRONOBERGS LÄN</t>
        </is>
      </c>
      <c r="G645" t="inlineStr">
        <is>
          <t>ÄLMHULT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2026-08-17T01:46:30Z</dcterms:created>
  <dcterms:modified xmlns:dcterms="http://purl.org/dc/terms/" xmlns:xsi="http://www.w3.org/2001/XMLSchema-instance" xsi:type="dcterms:W3CDTF">2026-08-17T01:46:31Z</dcterms:modified>
</cp:coreProperties>
</file>