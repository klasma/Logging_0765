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46299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46299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46299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46299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46299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46299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46299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46299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46299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18943-2026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46129</v>
      </c>
      <c r="E22" s="1" t="n">
        <v>46299</v>
      </c>
      <c r="F22" t="inlineStr">
        <is>
          <t>KRONOBERGS LÄN</t>
        </is>
      </c>
      <c r="G22" t="inlineStr">
        <is>
          <t>ÄLMHULT</t>
        </is>
      </c>
      <c r="I22" t="n">
        <v>3.9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Slåtterfibbla</t>
        </is>
      </c>
      <c r="W22">
        <f>HYPERLINK("https://klasma.github.io/Logging_0765/artfynd/A 18943-2026 artfynd.xlsx", "A 18943-2026")</f>
        <v/>
      </c>
      <c r="X22">
        <f>HYPERLINK("https://klasma.github.io/Logging_0765/kartor/A 18943-2026 karta.png", "A 18943-2026")</f>
        <v/>
      </c>
      <c r="Y22">
        <f>HYPERLINK("https://klasma.github.io/Logging_0765/kartor_geotiff/A 18943-2026 georefererad karta.tif", "A 18943-2026")</f>
        <v/>
      </c>
      <c r="AA22">
        <f>HYPERLINK("https://klasma.github.io/Logging_0765/klagomål/A 18943-2026 FSC-klagomål.docx", "A 18943-2026")</f>
        <v/>
      </c>
      <c r="AB22">
        <f>HYPERLINK("https://klasma.github.io/Logging_0765/klagomålsmail/A 18943-2026 FSC-klagomål mail.docx", "A 18943-2026")</f>
        <v/>
      </c>
      <c r="AC22">
        <f>HYPERLINK("https://klasma.github.io/Logging_0765/tillsyn/A 18943-2026 tillsynsbegäran.docx", "A 18943-2026")</f>
        <v/>
      </c>
      <c r="AD22">
        <f>HYPERLINK("https://klasma.github.io/Logging_0765/tillsynsmail/A 18943-2026 tillsynsbegäran mail.docx", "A 18943-2026")</f>
        <v/>
      </c>
    </row>
    <row r="23" ht="15" customHeight="1">
      <c r="A23" t="inlineStr">
        <is>
          <t>A 19196-2025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46299</v>
      </c>
      <c r="F23" t="inlineStr">
        <is>
          <t>KRONOBERGS LÄN</t>
        </is>
      </c>
      <c r="G23" t="inlineStr">
        <is>
          <t>ÄLMHULT</t>
        </is>
      </c>
      <c r="I23" t="n">
        <v>26.2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HYPERLINK("https://klasma.github.io/Logging_0765/artfynd/A 19196-2025 artfynd.xlsx", "A 19196-2025")</f>
        <v/>
      </c>
      <c r="X23">
        <f>HYPERLINK("https://klasma.github.io/Logging_0765/kartor/A 19196-2025 karta.png", "A 19196-2025")</f>
        <v/>
      </c>
      <c r="Y23">
        <f>HYPERLINK("https://klasma.github.io/Logging_0765/kartor_geotiff/A 19196-2025 georefererad karta.tif", "A 19196-2025")</f>
        <v/>
      </c>
      <c r="AA23">
        <f>HYPERLINK("https://klasma.github.io/Logging_0765/klagomål/A 19196-2025 FSC-klagomål.docx", "A 19196-2025")</f>
        <v/>
      </c>
      <c r="AB23">
        <f>HYPERLINK("https://klasma.github.io/Logging_0765/klagomålsmail/A 19196-2025 FSC-klagomål mail.docx", "A 19196-2025")</f>
        <v/>
      </c>
      <c r="AC23">
        <f>HYPERLINK("https://klasma.github.io/Logging_0765/tillsyn/A 19196-2025 tillsynsbegäran.docx", "A 19196-2025")</f>
        <v/>
      </c>
      <c r="AD23">
        <f>HYPERLINK("https://klasma.github.io/Logging_0765/tillsynsmail/A 19196-2025 tillsynsbegäran mail.docx", "A 19196-2025")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46299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46299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46299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46299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46299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46299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46299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46299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46299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46299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46299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46299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46299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46299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46299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46299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46299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46299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46299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46299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46299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46299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46299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46299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46299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44798</v>
      </c>
      <c r="E50" s="1" t="n">
        <v>46299</v>
      </c>
      <c r="F50" t="inlineStr">
        <is>
          <t>KRONOBERGS LÄN</t>
        </is>
      </c>
      <c r="G50" t="inlineStr">
        <is>
          <t>ÄLMHULT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46299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46299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46299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46299</v>
      </c>
      <c r="F54" t="inlineStr">
        <is>
          <t>KRONOBERGS LÄN</t>
        </is>
      </c>
      <c r="G54" t="inlineStr">
        <is>
          <t>ÄLMHULT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44665</v>
      </c>
      <c r="E55" s="1" t="n">
        <v>46299</v>
      </c>
      <c r="F55" t="inlineStr">
        <is>
          <t>KRONOBERGS LÄN</t>
        </is>
      </c>
      <c r="G55" t="inlineStr">
        <is>
          <t>ÄLMHULT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46299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46299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46299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46299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46299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46299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46299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46299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46299</v>
      </c>
      <c r="F64" t="inlineStr">
        <is>
          <t>KRONOBERGS LÄN</t>
        </is>
      </c>
      <c r="G64" t="inlineStr">
        <is>
          <t>ÄLMHULT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46299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46299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46299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3918-2022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44587</v>
      </c>
      <c r="E68" s="1" t="n">
        <v>46299</v>
      </c>
      <c r="F68" t="inlineStr">
        <is>
          <t>KRONOBERGS LÄN</t>
        </is>
      </c>
      <c r="G68" t="inlineStr">
        <is>
          <t>ÄLMHULT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46299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46299</v>
      </c>
      <c r="F70" t="inlineStr">
        <is>
          <t>KRONOBERGS LÄN</t>
        </is>
      </c>
      <c r="G70" t="inlineStr">
        <is>
          <t>ÄLMHULT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46299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46299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44733</v>
      </c>
      <c r="E73" s="1" t="n">
        <v>46299</v>
      </c>
      <c r="F73" t="inlineStr">
        <is>
          <t>KRONOBERGS LÄN</t>
        </is>
      </c>
      <c r="G73" t="inlineStr">
        <is>
          <t>ÄLMHULT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46299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46299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46299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44680</v>
      </c>
      <c r="E77" s="1" t="n">
        <v>46299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67506-2021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44524</v>
      </c>
      <c r="E78" s="1" t="n">
        <v>46299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46299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46299</v>
      </c>
      <c r="F80" t="inlineStr">
        <is>
          <t>KRONOBERGS LÄN</t>
        </is>
      </c>
      <c r="G80" t="inlineStr">
        <is>
          <t>ÄLMHULT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46299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46299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46299</v>
      </c>
      <c r="F83" t="inlineStr">
        <is>
          <t>KRONOBERGS LÄN</t>
        </is>
      </c>
      <c r="G83" t="inlineStr">
        <is>
          <t>ÄLMHULT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46299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46299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46299</v>
      </c>
      <c r="F86" t="inlineStr">
        <is>
          <t>KRONOBERGS LÄN</t>
        </is>
      </c>
      <c r="G86" t="inlineStr">
        <is>
          <t>ÄLMHULT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46299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46299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46299</v>
      </c>
      <c r="F89" t="inlineStr">
        <is>
          <t>KRONOBERGS LÄN</t>
        </is>
      </c>
      <c r="G89" t="inlineStr">
        <is>
          <t>ÄLMHULT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46299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46299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46299</v>
      </c>
      <c r="F92" t="inlineStr">
        <is>
          <t>KRONOBERGS LÄN</t>
        </is>
      </c>
      <c r="G92" t="inlineStr">
        <is>
          <t>ÄLMHULT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46299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46299</v>
      </c>
      <c r="F94" t="inlineStr">
        <is>
          <t>KRONOBERGS LÄN</t>
        </is>
      </c>
      <c r="G94" t="inlineStr">
        <is>
          <t>ÄLMHULT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44831</v>
      </c>
      <c r="E95" s="1" t="n">
        <v>46299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46299</v>
      </c>
      <c r="F96" t="inlineStr">
        <is>
          <t>KRONOBERGS LÄN</t>
        </is>
      </c>
      <c r="G96" t="inlineStr">
        <is>
          <t>ÄLMHULT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45433</v>
      </c>
      <c r="E97" s="1" t="n">
        <v>46299</v>
      </c>
      <c r="F97" t="inlineStr">
        <is>
          <t>KRONOBERGS LÄN</t>
        </is>
      </c>
      <c r="G97" t="inlineStr">
        <is>
          <t>ÄLMHULT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46299</v>
      </c>
      <c r="F98" t="inlineStr">
        <is>
          <t>KRONOBERGS LÄN</t>
        </is>
      </c>
      <c r="G98" t="inlineStr">
        <is>
          <t>ÄLMHULT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46299</v>
      </c>
      <c r="F99" t="inlineStr">
        <is>
          <t>KRONOBERGS LÄN</t>
        </is>
      </c>
      <c r="G99" t="inlineStr">
        <is>
          <t>ÄLMHULT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46299</v>
      </c>
      <c r="F100" t="inlineStr">
        <is>
          <t>KRONOBERGS LÄN</t>
        </is>
      </c>
      <c r="G100" t="inlineStr">
        <is>
          <t>ÄLMHULT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46299</v>
      </c>
      <c r="F101" t="inlineStr">
        <is>
          <t>KRONOBERGS LÄN</t>
        </is>
      </c>
      <c r="G101" t="inlineStr">
        <is>
          <t>ÄLMHULT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HYPERLINK("https://klasma.github.io/Logging_0765/knärot/A 27756-2023 karta knärot.png", "A 27756-2023")</f>
        <v/>
      </c>
      <c r="AA101">
        <f>HYPERLINK("https://klasma.github.io/Logging_0765/klagomål/A 27756-2023 FSC-klagomål.docx", "A 27756-2023")</f>
        <v/>
      </c>
      <c r="AB101">
        <f>HYPERLINK("https://klasma.github.io/Logging_0765/klagomålsmail/A 27756-2023 FSC-klagomål mail.docx", "A 27756-2023")</f>
        <v/>
      </c>
      <c r="AC101">
        <f>HYPERLINK("https://klasma.github.io/Logging_0765/tillsyn/A 27756-2023 tillsynsbegäran.docx", "A 27756-2023")</f>
        <v/>
      </c>
      <c r="AD101">
        <f>HYPERLINK("https://klasma.github.io/Logging_0765/tillsynsmail/A 27756-2023 tillsynsbegäran mail.docx", "A 27756-2023")</f>
        <v/>
      </c>
    </row>
    <row r="102" ht="15" customHeight="1">
      <c r="A102" t="inlineStr">
        <is>
          <t>A 21164-2023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46299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46299</v>
      </c>
      <c r="F103" t="inlineStr">
        <is>
          <t>KRONOBERGS LÄN</t>
        </is>
      </c>
      <c r="G103" t="inlineStr">
        <is>
          <t>ÄLMHULT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46299</v>
      </c>
      <c r="F104" t="inlineStr">
        <is>
          <t>KRONOBERGS LÄN</t>
        </is>
      </c>
      <c r="G104" t="inlineStr">
        <is>
          <t>ÄLMHULT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46299</v>
      </c>
      <c r="F105" t="inlineStr">
        <is>
          <t>KRONOBERGS LÄN</t>
        </is>
      </c>
      <c r="G105" t="inlineStr">
        <is>
          <t>ÄLMHULT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46299</v>
      </c>
      <c r="F106" t="inlineStr">
        <is>
          <t>KRONOBERGS LÄN</t>
        </is>
      </c>
      <c r="G106" t="inlineStr">
        <is>
          <t>ÄLMHULT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46299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46299</v>
      </c>
      <c r="F108" t="inlineStr">
        <is>
          <t>KRONOBERGS LÄN</t>
        </is>
      </c>
      <c r="G108" t="inlineStr">
        <is>
          <t>ÄLMHULT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46299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46299</v>
      </c>
      <c r="F110" t="inlineStr">
        <is>
          <t>KRONOBERGS LÄN</t>
        </is>
      </c>
      <c r="G110" t="inlineStr">
        <is>
          <t>ÄLMHULT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46299</v>
      </c>
      <c r="F111" t="inlineStr">
        <is>
          <t>KRONOBERGS LÄN</t>
        </is>
      </c>
      <c r="G111" t="inlineStr">
        <is>
          <t>ÄLMHULT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44962</v>
      </c>
      <c r="E112" s="1" t="n">
        <v>46299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45457</v>
      </c>
      <c r="E113" s="1" t="n">
        <v>46299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46299</v>
      </c>
      <c r="F114" t="inlineStr">
        <is>
          <t>KRONOBERGS LÄN</t>
        </is>
      </c>
      <c r="G114" t="inlineStr">
        <is>
          <t>ÄLMHULT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45543</v>
      </c>
      <c r="E115" s="1" t="n">
        <v>46299</v>
      </c>
      <c r="F115" t="inlineStr">
        <is>
          <t>KRONOBERGS LÄN</t>
        </is>
      </c>
      <c r="G115" t="inlineStr">
        <is>
          <t>ÄLMHULT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46299</v>
      </c>
      <c r="F116" t="inlineStr">
        <is>
          <t>KRONOBERGS LÄN</t>
        </is>
      </c>
      <c r="G116" t="inlineStr">
        <is>
          <t>ÄLMHULT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46299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46299</v>
      </c>
      <c r="F118" t="inlineStr">
        <is>
          <t>KRONOBERGS LÄN</t>
        </is>
      </c>
      <c r="G118" t="inlineStr">
        <is>
          <t>ÄLMHULT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46299</v>
      </c>
      <c r="F119" t="inlineStr">
        <is>
          <t>KRONOBERGS LÄN</t>
        </is>
      </c>
      <c r="G119" t="inlineStr">
        <is>
          <t>ÄLMHULT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46299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46299</v>
      </c>
      <c r="F121" t="inlineStr">
        <is>
          <t>KRONOBERGS LÄN</t>
        </is>
      </c>
      <c r="G121" t="inlineStr">
        <is>
          <t>ÄLMHULT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45554</v>
      </c>
      <c r="E122" s="1" t="n">
        <v>46299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46299</v>
      </c>
      <c r="F123" t="inlineStr">
        <is>
          <t>KRONOBERGS LÄN</t>
        </is>
      </c>
      <c r="G123" t="inlineStr">
        <is>
          <t>ÄLMHULT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46299</v>
      </c>
      <c r="F124" t="inlineStr">
        <is>
          <t>KRONOBERGS LÄN</t>
        </is>
      </c>
      <c r="G124" t="inlineStr">
        <is>
          <t>ÄLMHULT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46299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46299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46299</v>
      </c>
      <c r="F127" t="inlineStr">
        <is>
          <t>KRONOBERGS LÄN</t>
        </is>
      </c>
      <c r="G127" t="inlineStr">
        <is>
          <t>ÄLMHULT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46005</v>
      </c>
      <c r="E128" s="1" t="n">
        <v>46299</v>
      </c>
      <c r="F128" t="inlineStr">
        <is>
          <t>KRONOBERGS LÄN</t>
        </is>
      </c>
      <c r="G128" t="inlineStr">
        <is>
          <t>ÄLMHULT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46299</v>
      </c>
      <c r="F129" t="inlineStr">
        <is>
          <t>KRONOBERGS LÄN</t>
        </is>
      </c>
      <c r="G129" t="inlineStr">
        <is>
          <t>ÄLMHULT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46299</v>
      </c>
      <c r="F130" t="inlineStr">
        <is>
          <t>KRONOBERGS LÄN</t>
        </is>
      </c>
      <c r="G130" t="inlineStr">
        <is>
          <t>ÄLMHULT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46299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46299</v>
      </c>
      <c r="F132" t="inlineStr">
        <is>
          <t>KRONOBERGS LÄN</t>
        </is>
      </c>
      <c r="G132" t="inlineStr">
        <is>
          <t>ÄLMHULT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45812</v>
      </c>
      <c r="E133" s="1" t="n">
        <v>46299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46299</v>
      </c>
      <c r="F134" t="inlineStr">
        <is>
          <t>KRONOBERGS LÄN</t>
        </is>
      </c>
      <c r="G134" t="inlineStr">
        <is>
          <t>ÄLMHULT</t>
        </is>
      </c>
      <c r="H134" t="inlineStr">
        <is>
          <t>Sveaskog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46299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46299</v>
      </c>
      <c r="F136" t="inlineStr">
        <is>
          <t>KRONOBERGS LÄN</t>
        </is>
      </c>
      <c r="G136" t="inlineStr">
        <is>
          <t>ÄLMHULT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46299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46299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46299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46299</v>
      </c>
      <c r="F140" t="inlineStr">
        <is>
          <t>KRONOBERGS LÄN</t>
        </is>
      </c>
      <c r="G140" t="inlineStr">
        <is>
          <t>ÄLMHULT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46299</v>
      </c>
      <c r="F141" t="inlineStr">
        <is>
          <t>KRONOBERGS LÄN</t>
        </is>
      </c>
      <c r="G141" t="inlineStr">
        <is>
          <t>ÄLMHULT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46299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46299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46299</v>
      </c>
      <c r="F144" t="inlineStr">
        <is>
          <t>KRONOBERGS LÄN</t>
        </is>
      </c>
      <c r="G144" t="inlineStr">
        <is>
          <t>ÄLMHULT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46299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44686</v>
      </c>
      <c r="E146" s="1" t="n">
        <v>46299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46299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46299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46299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46299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46299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46299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46299</v>
      </c>
      <c r="F153" t="inlineStr">
        <is>
          <t>KRONOBERGS LÄN</t>
        </is>
      </c>
      <c r="G153" t="inlineStr">
        <is>
          <t>ÄLMHULT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46299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46299</v>
      </c>
      <c r="F155" t="inlineStr">
        <is>
          <t>KRONOBERGS LÄN</t>
        </is>
      </c>
      <c r="G155" t="inlineStr">
        <is>
          <t>ÄLMHULT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46299</v>
      </c>
      <c r="F156" t="inlineStr">
        <is>
          <t>KRONOBERGS LÄN</t>
        </is>
      </c>
      <c r="G156" t="inlineStr">
        <is>
          <t>ÄLMHULT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46299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46299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46299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46299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46299</v>
      </c>
      <c r="F161" t="inlineStr">
        <is>
          <t>KRONOBERGS LÄN</t>
        </is>
      </c>
      <c r="G161" t="inlineStr">
        <is>
          <t>ÄLMHULT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46299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46299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46299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45916</v>
      </c>
      <c r="E165" s="1" t="n">
        <v>46299</v>
      </c>
      <c r="F165" t="inlineStr">
        <is>
          <t>KRONOBERGS LÄN</t>
        </is>
      </c>
      <c r="G165" t="inlineStr">
        <is>
          <t>ÄLMHULT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46299</v>
      </c>
      <c r="F166" t="inlineStr">
        <is>
          <t>KRONOBERGS LÄN</t>
        </is>
      </c>
      <c r="G166" t="inlineStr">
        <is>
          <t>ÄLMHULT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64618-2021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46299</v>
      </c>
      <c r="F167" t="inlineStr">
        <is>
          <t>KRONOBERGS LÄN</t>
        </is>
      </c>
      <c r="G167" t="inlineStr">
        <is>
          <t>ÄLMHULT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46299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46299</v>
      </c>
      <c r="F169" t="inlineStr">
        <is>
          <t>KRONOBERGS LÄN</t>
        </is>
      </c>
      <c r="G169" t="inlineStr">
        <is>
          <t>ÄLMHULT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46299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46299</v>
      </c>
      <c r="F171" t="inlineStr">
        <is>
          <t>KRONOBERGS LÄN</t>
        </is>
      </c>
      <c r="G171" t="inlineStr">
        <is>
          <t>ÄLMHULT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45663</v>
      </c>
      <c r="E172" s="1" t="n">
        <v>46299</v>
      </c>
      <c r="F172" t="inlineStr">
        <is>
          <t>KRONOBERGS LÄN</t>
        </is>
      </c>
      <c r="G172" t="inlineStr">
        <is>
          <t>ÄLMHULT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46299</v>
      </c>
      <c r="F173" t="inlineStr">
        <is>
          <t>KRONOBERGS LÄN</t>
        </is>
      </c>
      <c r="G173" t="inlineStr">
        <is>
          <t>ÄLMHULT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46299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46299</v>
      </c>
      <c r="F175" t="inlineStr">
        <is>
          <t>KRONOBERGS LÄN</t>
        </is>
      </c>
      <c r="G175" t="inlineStr">
        <is>
          <t>ÄLMHULT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46299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46299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46299</v>
      </c>
      <c r="F178" t="inlineStr">
        <is>
          <t>KRONOBERGS LÄN</t>
        </is>
      </c>
      <c r="G178" t="inlineStr">
        <is>
          <t>ÄLMHULT</t>
        </is>
      </c>
      <c r="I178" t="n">
        <v>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46299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46299</v>
      </c>
      <c r="F180" t="inlineStr">
        <is>
          <t>KRONOBERGS LÄN</t>
        </is>
      </c>
      <c r="G180" t="inlineStr">
        <is>
          <t>ÄLMHULT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46299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46299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46299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46299</v>
      </c>
      <c r="F184" t="inlineStr">
        <is>
          <t>KRONOBERGS LÄN</t>
        </is>
      </c>
      <c r="G184" t="inlineStr">
        <is>
          <t>ÄLMHULT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46299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46299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46299</v>
      </c>
      <c r="F187" t="inlineStr">
        <is>
          <t>KRONOBERGS LÄN</t>
        </is>
      </c>
      <c r="G187" t="inlineStr">
        <is>
          <t>ÄLMHULT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46299</v>
      </c>
      <c r="F188" t="inlineStr">
        <is>
          <t>KRONOBERGS LÄN</t>
        </is>
      </c>
      <c r="G188" t="inlineStr">
        <is>
          <t>ÄLMHULT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8102-2026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46063</v>
      </c>
      <c r="E189" s="1" t="n">
        <v>46299</v>
      </c>
      <c r="F189" t="inlineStr">
        <is>
          <t>KRONOBERGS LÄN</t>
        </is>
      </c>
      <c r="G189" t="inlineStr">
        <is>
          <t>ÄLMHULT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46299</v>
      </c>
      <c r="F190" t="inlineStr">
        <is>
          <t>KRONOBERGS LÄN</t>
        </is>
      </c>
      <c r="G190" t="inlineStr">
        <is>
          <t>ÄLMHULT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46299</v>
      </c>
      <c r="F191" t="inlineStr">
        <is>
          <t>KRONOBERGS LÄN</t>
        </is>
      </c>
      <c r="G191" t="inlineStr">
        <is>
          <t>ÄLMHULT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46061</v>
      </c>
      <c r="E192" s="1" t="n">
        <v>46299</v>
      </c>
      <c r="F192" t="inlineStr">
        <is>
          <t>KRONOBERGS LÄN</t>
        </is>
      </c>
      <c r="G192" t="inlineStr">
        <is>
          <t>ÄLMHULT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46299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46299</v>
      </c>
      <c r="F194" t="inlineStr">
        <is>
          <t>KRONOBERGS LÄN</t>
        </is>
      </c>
      <c r="G194" t="inlineStr">
        <is>
          <t>ÄLMHULT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46299</v>
      </c>
      <c r="F195" t="inlineStr">
        <is>
          <t>KRONOBERGS LÄN</t>
        </is>
      </c>
      <c r="G195" t="inlineStr">
        <is>
          <t>ÄLMHULT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46299</v>
      </c>
      <c r="F196" t="inlineStr">
        <is>
          <t>KRONOBERGS LÄN</t>
        </is>
      </c>
      <c r="G196" t="inlineStr">
        <is>
          <t>ÄLMHULT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46299</v>
      </c>
      <c r="F197" t="inlineStr">
        <is>
          <t>KRONOBERGS LÄN</t>
        </is>
      </c>
      <c r="G197" t="inlineStr">
        <is>
          <t>ÄLMHULT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46299</v>
      </c>
      <c r="F198" t="inlineStr">
        <is>
          <t>KRONOBERGS LÄN</t>
        </is>
      </c>
      <c r="G198" t="inlineStr">
        <is>
          <t>ÄLMHULT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46299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46299</v>
      </c>
      <c r="F200" t="inlineStr">
        <is>
          <t>KRONOBERGS LÄN</t>
        </is>
      </c>
      <c r="G200" t="inlineStr">
        <is>
          <t>ÄLMHULT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44861</v>
      </c>
      <c r="E201" s="1" t="n">
        <v>46299</v>
      </c>
      <c r="F201" t="inlineStr">
        <is>
          <t>KRONOBERGS LÄN</t>
        </is>
      </c>
      <c r="G201" t="inlineStr">
        <is>
          <t>ÄLMHULT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46299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30322-2025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45827</v>
      </c>
      <c r="E203" s="1" t="n">
        <v>46299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46299</v>
      </c>
      <c r="F204" t="inlineStr">
        <is>
          <t>KRONOBERGS LÄN</t>
        </is>
      </c>
      <c r="G204" t="inlineStr">
        <is>
          <t>ÄLMHULT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45414</v>
      </c>
      <c r="E205" s="1" t="n">
        <v>46299</v>
      </c>
      <c r="F205" t="inlineStr">
        <is>
          <t>KRONOBERGS LÄN</t>
        </is>
      </c>
      <c r="G205" t="inlineStr">
        <is>
          <t>ÄLMHULT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46299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46299</v>
      </c>
      <c r="F207" t="inlineStr">
        <is>
          <t>KRONOBERGS LÄN</t>
        </is>
      </c>
      <c r="G207" t="inlineStr">
        <is>
          <t>ÄLMHULT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46299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46299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45612</v>
      </c>
      <c r="E210" s="1" t="n">
        <v>46299</v>
      </c>
      <c r="F210" t="inlineStr">
        <is>
          <t>KRONOBERGS LÄN</t>
        </is>
      </c>
      <c r="G210" t="inlineStr">
        <is>
          <t>ÄLMHULT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46299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46299</v>
      </c>
      <c r="F212" t="inlineStr">
        <is>
          <t>KRONOBERGS LÄN</t>
        </is>
      </c>
      <c r="G212" t="inlineStr">
        <is>
          <t>ÄLMHULT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46299</v>
      </c>
      <c r="F213" t="inlineStr">
        <is>
          <t>KRONOBERGS LÄN</t>
        </is>
      </c>
      <c r="G213" t="inlineStr">
        <is>
          <t>ÄLMHULT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46299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46299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46299</v>
      </c>
      <c r="F216" t="inlineStr">
        <is>
          <t>KRONOBERGS LÄN</t>
        </is>
      </c>
      <c r="G216" t="inlineStr">
        <is>
          <t>ÄLMHULT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46299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46299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46299</v>
      </c>
      <c r="F219" t="inlineStr">
        <is>
          <t>KRONOBERGS LÄN</t>
        </is>
      </c>
      <c r="G219" t="inlineStr">
        <is>
          <t>ÄLMHULT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46299</v>
      </c>
      <c r="F220" t="inlineStr">
        <is>
          <t>KRONOBERGS LÄN</t>
        </is>
      </c>
      <c r="G220" t="inlineStr">
        <is>
          <t>ÄLMHULT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46299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46299</v>
      </c>
      <c r="F222" t="inlineStr">
        <is>
          <t>KRONOBERGS LÄN</t>
        </is>
      </c>
      <c r="G222" t="inlineStr">
        <is>
          <t>ÄLMHULT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46299</v>
      </c>
      <c r="F223" t="inlineStr">
        <is>
          <t>KRONOBERGS LÄN</t>
        </is>
      </c>
      <c r="G223" t="inlineStr">
        <is>
          <t>ÄLMHULT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46299</v>
      </c>
      <c r="F224" t="inlineStr">
        <is>
          <t>KRONOBERGS LÄN</t>
        </is>
      </c>
      <c r="G224" t="inlineStr">
        <is>
          <t>ÄLMHULT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46299</v>
      </c>
      <c r="F225" t="inlineStr">
        <is>
          <t>KRONOBERGS LÄN</t>
        </is>
      </c>
      <c r="G225" t="inlineStr">
        <is>
          <t>ÄLMHULT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46299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44921</v>
      </c>
      <c r="E227" s="1" t="n">
        <v>46299</v>
      </c>
      <c r="F227" t="inlineStr">
        <is>
          <t>KRONOBERGS LÄN</t>
        </is>
      </c>
      <c r="G227" t="inlineStr">
        <is>
          <t>ÄLMHULT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45969</v>
      </c>
      <c r="E228" s="1" t="n">
        <v>46299</v>
      </c>
      <c r="F228" t="inlineStr">
        <is>
          <t>KRONOBERGS LÄN</t>
        </is>
      </c>
      <c r="G228" t="inlineStr">
        <is>
          <t>ÄLMHULT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45969</v>
      </c>
      <c r="E229" s="1" t="n">
        <v>46299</v>
      </c>
      <c r="F229" t="inlineStr">
        <is>
          <t>KRONOBERGS LÄN</t>
        </is>
      </c>
      <c r="G229" t="inlineStr">
        <is>
          <t>ÄLMHULT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46299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46299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46299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46299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46299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46299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45538</v>
      </c>
      <c r="E236" s="1" t="n">
        <v>46299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46299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46299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46299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46299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46299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45548</v>
      </c>
      <c r="E242" s="1" t="n">
        <v>46299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46299</v>
      </c>
      <c r="F243" t="inlineStr">
        <is>
          <t>KRONOBERGS LÄN</t>
        </is>
      </c>
      <c r="G243" t="inlineStr">
        <is>
          <t>ÄLMHULT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46299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46299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46299</v>
      </c>
      <c r="F246" t="inlineStr">
        <is>
          <t>KRONOBERGS LÄN</t>
        </is>
      </c>
      <c r="G246" t="inlineStr">
        <is>
          <t>ÄLMHULT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46299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46299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46299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46299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46299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46299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46299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46299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46299</v>
      </c>
      <c r="F255" t="inlineStr">
        <is>
          <t>KRONOBERGS LÄN</t>
        </is>
      </c>
      <c r="G255" t="inlineStr">
        <is>
          <t>ÄLMHULT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46299</v>
      </c>
      <c r="F256" t="inlineStr">
        <is>
          <t>KRONOBERGS LÄN</t>
        </is>
      </c>
      <c r="G256" t="inlineStr">
        <is>
          <t>ÄLMHULT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46299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46299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46299</v>
      </c>
      <c r="F259" t="inlineStr">
        <is>
          <t>KRONOBERGS LÄN</t>
        </is>
      </c>
      <c r="G259" t="inlineStr">
        <is>
          <t>ÄLMHULT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59803-2025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46299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45716</v>
      </c>
      <c r="E261" s="1" t="n">
        <v>46299</v>
      </c>
      <c r="F261" t="inlineStr">
        <is>
          <t>KRONOBERGS LÄN</t>
        </is>
      </c>
      <c r="G261" t="inlineStr">
        <is>
          <t>ÄLMHULT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59771-2025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45992</v>
      </c>
      <c r="E262" s="1" t="n">
        <v>46299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46299</v>
      </c>
      <c r="F263" t="inlineStr">
        <is>
          <t>KRONOBERGS LÄN</t>
        </is>
      </c>
      <c r="G263" t="inlineStr">
        <is>
          <t>ÄLMHULT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59780-2025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45992</v>
      </c>
      <c r="E264" s="1" t="n">
        <v>46299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46299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45441</v>
      </c>
      <c r="E266" s="1" t="n">
        <v>46299</v>
      </c>
      <c r="F266" t="inlineStr">
        <is>
          <t>KRONOBERGS LÄN</t>
        </is>
      </c>
      <c r="G266" t="inlineStr">
        <is>
          <t>ÄLMHULT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46299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46299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46299</v>
      </c>
      <c r="F269" t="inlineStr">
        <is>
          <t>KRONOBERGS LÄN</t>
        </is>
      </c>
      <c r="G269" t="inlineStr">
        <is>
          <t>ÄLMHULT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46299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46299</v>
      </c>
      <c r="F271" t="inlineStr">
        <is>
          <t>KRONOBERGS LÄN</t>
        </is>
      </c>
      <c r="G271" t="inlineStr">
        <is>
          <t>ÄLMHULT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46299</v>
      </c>
      <c r="F272" t="inlineStr">
        <is>
          <t>KRONOBERGS LÄN</t>
        </is>
      </c>
      <c r="G272" t="inlineStr">
        <is>
          <t>ÄLMHULT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46299</v>
      </c>
      <c r="F273" t="inlineStr">
        <is>
          <t>KRONOBERGS LÄN</t>
        </is>
      </c>
      <c r="G273" t="inlineStr">
        <is>
          <t>ÄLMHULT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46299</v>
      </c>
      <c r="F274" t="inlineStr">
        <is>
          <t>KRONOBERGS LÄN</t>
        </is>
      </c>
      <c r="G274" t="inlineStr">
        <is>
          <t>ÄLMHULT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46299</v>
      </c>
      <c r="F275" t="inlineStr">
        <is>
          <t>KRONOBERGS LÄN</t>
        </is>
      </c>
      <c r="G275" t="inlineStr">
        <is>
          <t>ÄLMHULT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72469-2021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44545</v>
      </c>
      <c r="E276" s="1" t="n">
        <v>46299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45140</v>
      </c>
      <c r="E277" s="1" t="n">
        <v>46299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46299</v>
      </c>
      <c r="F278" t="inlineStr">
        <is>
          <t>KRONOBERGS LÄN</t>
        </is>
      </c>
      <c r="G278" t="inlineStr">
        <is>
          <t>ÄLMHULT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46299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54363-2023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45233</v>
      </c>
      <c r="E280" s="1" t="n">
        <v>46299</v>
      </c>
      <c r="F280" t="inlineStr">
        <is>
          <t>KRONOBERGS LÄN</t>
        </is>
      </c>
      <c r="G280" t="inlineStr">
        <is>
          <t>ÄLMHULT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45233</v>
      </c>
      <c r="E281" s="1" t="n">
        <v>46299</v>
      </c>
      <c r="F281" t="inlineStr">
        <is>
          <t>KRONOBERGS LÄN</t>
        </is>
      </c>
      <c r="G281" t="inlineStr">
        <is>
          <t>ÄLMHULT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46299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46299</v>
      </c>
      <c r="F283" t="inlineStr">
        <is>
          <t>KRONOBERGS LÄN</t>
        </is>
      </c>
      <c r="G283" t="inlineStr">
        <is>
          <t>ÄLMHULT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67257-2021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44523</v>
      </c>
      <c r="E284" s="1" t="n">
        <v>46299</v>
      </c>
      <c r="F284" t="inlineStr">
        <is>
          <t>KRONOBERGS LÄN</t>
        </is>
      </c>
      <c r="G284" t="inlineStr">
        <is>
          <t>ÄLMHULT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46299</v>
      </c>
      <c r="F285" t="inlineStr">
        <is>
          <t>KRONOBERGS LÄN</t>
        </is>
      </c>
      <c r="G285" t="inlineStr">
        <is>
          <t>ÄLMHULT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46299</v>
      </c>
      <c r="F286" t="inlineStr">
        <is>
          <t>KRONOBERGS LÄN</t>
        </is>
      </c>
      <c r="G286" t="inlineStr">
        <is>
          <t>ÄLMHULT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46299</v>
      </c>
      <c r="F287" t="inlineStr">
        <is>
          <t>KRONOBERGS LÄN</t>
        </is>
      </c>
      <c r="G287" t="inlineStr">
        <is>
          <t>ÄLMHULT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46299</v>
      </c>
      <c r="F288" t="inlineStr">
        <is>
          <t>KRONOBERGS LÄN</t>
        </is>
      </c>
      <c r="G288" t="inlineStr">
        <is>
          <t>ÄLMHULT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46299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44641</v>
      </c>
      <c r="E290" s="1" t="n">
        <v>46299</v>
      </c>
      <c r="F290" t="inlineStr">
        <is>
          <t>KRONOBERGS LÄN</t>
        </is>
      </c>
      <c r="G290" t="inlineStr">
        <is>
          <t>ÄLMHULT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32197-2025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46299</v>
      </c>
      <c r="F291" t="inlineStr">
        <is>
          <t>KRONOBERGS LÄN</t>
        </is>
      </c>
      <c r="G291" t="inlineStr">
        <is>
          <t>ÄLMHULT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46299</v>
      </c>
      <c r="F292" t="inlineStr">
        <is>
          <t>KRONOBERGS LÄN</t>
        </is>
      </c>
      <c r="G292" t="inlineStr">
        <is>
          <t>ÄLMHULT</t>
        </is>
      </c>
      <c r="H292" t="inlineStr">
        <is>
          <t>Kommuner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46299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46299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46299</v>
      </c>
      <c r="F295" t="inlineStr">
        <is>
          <t>KRONOBERGS LÄN</t>
        </is>
      </c>
      <c r="G295" t="inlineStr">
        <is>
          <t>ÄLMHULT</t>
        </is>
      </c>
      <c r="I295" t="n">
        <v>14.1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46299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13606-2023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45006</v>
      </c>
      <c r="E297" s="1" t="n">
        <v>46299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46299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45089</v>
      </c>
      <c r="E299" s="1" t="n">
        <v>46299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45529</v>
      </c>
      <c r="E300" s="1" t="n">
        <v>46299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46299</v>
      </c>
      <c r="F301" t="inlineStr">
        <is>
          <t>KRONOBERGS LÄN</t>
        </is>
      </c>
      <c r="G301" t="inlineStr">
        <is>
          <t>ÄLMHULT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46299</v>
      </c>
      <c r="F302" t="inlineStr">
        <is>
          <t>KRONOBERGS LÄN</t>
        </is>
      </c>
      <c r="G302" t="inlineStr">
        <is>
          <t>ÄLMHULT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46299</v>
      </c>
      <c r="F303" t="inlineStr">
        <is>
          <t>KRONOBERGS LÄN</t>
        </is>
      </c>
      <c r="G303" t="inlineStr">
        <is>
          <t>ÄLMHULT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46299</v>
      </c>
      <c r="F304" t="inlineStr">
        <is>
          <t>KRONOBERGS LÄN</t>
        </is>
      </c>
      <c r="G304" t="inlineStr">
        <is>
          <t>ÄLMHULT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46299</v>
      </c>
      <c r="F305" t="inlineStr">
        <is>
          <t>KRONOBERGS LÄN</t>
        </is>
      </c>
      <c r="G305" t="inlineStr">
        <is>
          <t>ÄLMHULT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45845</v>
      </c>
      <c r="E306" s="1" t="n">
        <v>46299</v>
      </c>
      <c r="F306" t="inlineStr">
        <is>
          <t>KRONOBERGS LÄN</t>
        </is>
      </c>
      <c r="G306" t="inlineStr">
        <is>
          <t>ÄLMHULT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46299</v>
      </c>
      <c r="F307" t="inlineStr">
        <is>
          <t>KRONOBERGS LÄN</t>
        </is>
      </c>
      <c r="G307" t="inlineStr">
        <is>
          <t>ÄLMHULT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46299</v>
      </c>
      <c r="F308" t="inlineStr">
        <is>
          <t>KRONOBERGS LÄN</t>
        </is>
      </c>
      <c r="G308" t="inlineStr">
        <is>
          <t>ÄLMHULT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45630</v>
      </c>
      <c r="E309" s="1" t="n">
        <v>46299</v>
      </c>
      <c r="F309" t="inlineStr">
        <is>
          <t>KRONOBERGS LÄN</t>
        </is>
      </c>
      <c r="G309" t="inlineStr">
        <is>
          <t>ÄLMHULT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46299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46299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46299</v>
      </c>
      <c r="F312" t="inlineStr">
        <is>
          <t>KRONOBERGS LÄN</t>
        </is>
      </c>
      <c r="G312" t="inlineStr">
        <is>
          <t>ÄLMHULT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46299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46299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46299</v>
      </c>
      <c r="F315" t="inlineStr">
        <is>
          <t>KRONOBERGS LÄN</t>
        </is>
      </c>
      <c r="G315" t="inlineStr">
        <is>
          <t>ÄLMHULT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33944-2023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45134</v>
      </c>
      <c r="E316" s="1" t="n">
        <v>46299</v>
      </c>
      <c r="F316" t="inlineStr">
        <is>
          <t>KRONOBERGS LÄN</t>
        </is>
      </c>
      <c r="G316" t="inlineStr">
        <is>
          <t>ÄLMHULT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45726</v>
      </c>
      <c r="E317" s="1" t="n">
        <v>46299</v>
      </c>
      <c r="F317" t="inlineStr">
        <is>
          <t>KRONOBERGS LÄN</t>
        </is>
      </c>
      <c r="G317" t="inlineStr">
        <is>
          <t>ÄLMHULT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45854</v>
      </c>
      <c r="E318" s="1" t="n">
        <v>46299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46299</v>
      </c>
      <c r="F319" t="inlineStr">
        <is>
          <t>KRONOBERGS LÄN</t>
        </is>
      </c>
      <c r="G319" t="inlineStr">
        <is>
          <t>ÄLMHULT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46299</v>
      </c>
      <c r="F320" t="inlineStr">
        <is>
          <t>KRONOBERGS LÄN</t>
        </is>
      </c>
      <c r="G320" t="inlineStr">
        <is>
          <t>ÄLMHULT</t>
        </is>
      </c>
      <c r="H320" t="inlineStr">
        <is>
          <t>Kyrkan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46299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46299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46299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46299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46299</v>
      </c>
      <c r="F325" t="inlineStr">
        <is>
          <t>KRONOBERGS LÄN</t>
        </is>
      </c>
      <c r="G325" t="inlineStr">
        <is>
          <t>ÄLMHULT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46299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46299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46299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46299</v>
      </c>
      <c r="F329" t="inlineStr">
        <is>
          <t>KRONOBERGS LÄN</t>
        </is>
      </c>
      <c r="G329" t="inlineStr">
        <is>
          <t>ÄLMHULT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46299</v>
      </c>
      <c r="F330" t="inlineStr">
        <is>
          <t>KRONOBERGS LÄN</t>
        </is>
      </c>
      <c r="G330" t="inlineStr">
        <is>
          <t>ÄLMHULT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45010</v>
      </c>
      <c r="E331" s="1" t="n">
        <v>46299</v>
      </c>
      <c r="F331" t="inlineStr">
        <is>
          <t>KRONOBERGS LÄN</t>
        </is>
      </c>
      <c r="G331" t="inlineStr">
        <is>
          <t>ÄLMHULT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46299</v>
      </c>
      <c r="F332" t="inlineStr">
        <is>
          <t>KRONOBERGS LÄN</t>
        </is>
      </c>
      <c r="G332" t="inlineStr">
        <is>
          <t>ÄLMHULT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46299</v>
      </c>
      <c r="F333" t="inlineStr">
        <is>
          <t>KRONOBERGS LÄN</t>
        </is>
      </c>
      <c r="G333" t="inlineStr">
        <is>
          <t>ÄLMHULT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46299</v>
      </c>
      <c r="F334" t="inlineStr">
        <is>
          <t>KRONOBERGS LÄN</t>
        </is>
      </c>
      <c r="G334" t="inlineStr">
        <is>
          <t>ÄLMHULT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46299</v>
      </c>
      <c r="F335" t="inlineStr">
        <is>
          <t>KRONOBERGS LÄN</t>
        </is>
      </c>
      <c r="G335" t="inlineStr">
        <is>
          <t>ÄLMHULT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45812</v>
      </c>
      <c r="E336" s="1" t="n">
        <v>46299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46299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46299</v>
      </c>
      <c r="F338" t="inlineStr">
        <is>
          <t>KRONOBERGS LÄN</t>
        </is>
      </c>
      <c r="G338" t="inlineStr">
        <is>
          <t>ÄLMHULT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46299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45529</v>
      </c>
      <c r="E340" s="1" t="n">
        <v>46299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46299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45631</v>
      </c>
      <c r="E342" s="1" t="n">
        <v>46299</v>
      </c>
      <c r="F342" t="inlineStr">
        <is>
          <t>KRONOBERGS LÄN</t>
        </is>
      </c>
      <c r="G342" t="inlineStr">
        <is>
          <t>ÄLMHULT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46299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46299</v>
      </c>
      <c r="F344" t="inlineStr">
        <is>
          <t>KRONOBERGS LÄN</t>
        </is>
      </c>
      <c r="G344" t="inlineStr">
        <is>
          <t>ÄLMHULT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45010</v>
      </c>
      <c r="E345" s="1" t="n">
        <v>46299</v>
      </c>
      <c r="F345" t="inlineStr">
        <is>
          <t>KRONOBERGS LÄN</t>
        </is>
      </c>
      <c r="G345" t="inlineStr">
        <is>
          <t>ÄLMHULT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46299</v>
      </c>
      <c r="F346" t="inlineStr">
        <is>
          <t>KRONOBERGS LÄN</t>
        </is>
      </c>
      <c r="G346" t="inlineStr">
        <is>
          <t>ÄLMHULT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45867</v>
      </c>
      <c r="E347" s="1" t="n">
        <v>46299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46299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46299</v>
      </c>
      <c r="F349" t="inlineStr">
        <is>
          <t>KRONOBERGS LÄN</t>
        </is>
      </c>
      <c r="G349" t="inlineStr">
        <is>
          <t>ÄLMHULT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46299</v>
      </c>
      <c r="F350" t="inlineStr">
        <is>
          <t>KRONOBERGS LÄN</t>
        </is>
      </c>
      <c r="G350" t="inlineStr">
        <is>
          <t>ÄLMHULT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46299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46299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44865</v>
      </c>
      <c r="E353" s="1" t="n">
        <v>46299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46299</v>
      </c>
      <c r="F354" t="inlineStr">
        <is>
          <t>KRONOBERGS LÄN</t>
        </is>
      </c>
      <c r="G354" t="inlineStr">
        <is>
          <t>ÄLMHULT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46299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46299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46299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46299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45282</v>
      </c>
      <c r="E359" s="1" t="n">
        <v>46299</v>
      </c>
      <c r="F359" t="inlineStr">
        <is>
          <t>KRONOBERGS LÄN</t>
        </is>
      </c>
      <c r="G359" t="inlineStr">
        <is>
          <t>ÄLMHULT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46299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46299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46299</v>
      </c>
      <c r="F362" t="inlineStr">
        <is>
          <t>KRONOBERGS LÄN</t>
        </is>
      </c>
      <c r="G362" t="inlineStr">
        <is>
          <t>ÄLMHULT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46299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46299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46299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46299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46299</v>
      </c>
      <c r="F367" t="inlineStr">
        <is>
          <t>KRONOBERGS LÄN</t>
        </is>
      </c>
      <c r="G367" t="inlineStr">
        <is>
          <t>ÄLMHULT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46299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46299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46299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46299</v>
      </c>
      <c r="F371" t="inlineStr">
        <is>
          <t>KRONOBERGS LÄN</t>
        </is>
      </c>
      <c r="G371" t="inlineStr">
        <is>
          <t>ÄLMHULT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46299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45311</v>
      </c>
      <c r="E373" s="1" t="n">
        <v>46299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46299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45384</v>
      </c>
      <c r="E375" s="1" t="n">
        <v>46299</v>
      </c>
      <c r="F375" t="inlineStr">
        <is>
          <t>KRONOBERGS LÄN</t>
        </is>
      </c>
      <c r="G375" t="inlineStr">
        <is>
          <t>ÄLMHULT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45374</v>
      </c>
      <c r="E376" s="1" t="n">
        <v>46299</v>
      </c>
      <c r="F376" t="inlineStr">
        <is>
          <t>KRONOBERGS LÄN</t>
        </is>
      </c>
      <c r="G376" t="inlineStr">
        <is>
          <t>ÄLMHULT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46299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46299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46299</v>
      </c>
      <c r="F379" t="inlineStr">
        <is>
          <t>KRONOBERGS LÄN</t>
        </is>
      </c>
      <c r="G379" t="inlineStr">
        <is>
          <t>ÄLMHULT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46299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46299</v>
      </c>
      <c r="F381" t="inlineStr">
        <is>
          <t>KRONOBERGS LÄN</t>
        </is>
      </c>
      <c r="G381" t="inlineStr">
        <is>
          <t>ÄLMHULT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45476</v>
      </c>
      <c r="E382" s="1" t="n">
        <v>46299</v>
      </c>
      <c r="F382" t="inlineStr">
        <is>
          <t>KRONOBERGS LÄN</t>
        </is>
      </c>
      <c r="G382" t="inlineStr">
        <is>
          <t>ÄLMHULT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46299</v>
      </c>
      <c r="F383" t="inlineStr">
        <is>
          <t>KRONOBERGS LÄN</t>
        </is>
      </c>
      <c r="G383" t="inlineStr">
        <is>
          <t>ÄLMHULT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46299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45653</v>
      </c>
      <c r="E385" s="1" t="n">
        <v>46299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45653</v>
      </c>
      <c r="E386" s="1" t="n">
        <v>46299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46299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45716</v>
      </c>
      <c r="E388" s="1" t="n">
        <v>46299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44973</v>
      </c>
      <c r="E389" s="1" t="n">
        <v>46299</v>
      </c>
      <c r="F389" t="inlineStr">
        <is>
          <t>KRONOBERGS LÄN</t>
        </is>
      </c>
      <c r="G389" t="inlineStr">
        <is>
          <t>ÄLMHULT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46299</v>
      </c>
      <c r="F390" t="inlineStr">
        <is>
          <t>KRONOBERGS LÄN</t>
        </is>
      </c>
      <c r="G390" t="inlineStr">
        <is>
          <t>ÄLMHULT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46299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46299</v>
      </c>
      <c r="F392" t="inlineStr">
        <is>
          <t>KRONOBERGS LÄN</t>
        </is>
      </c>
      <c r="G392" t="inlineStr">
        <is>
          <t>ÄLMHULT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45061</v>
      </c>
      <c r="E393" s="1" t="n">
        <v>46299</v>
      </c>
      <c r="F393" t="inlineStr">
        <is>
          <t>KRONOBERGS LÄN</t>
        </is>
      </c>
      <c r="G393" t="inlineStr">
        <is>
          <t>ÄLMHULT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46299</v>
      </c>
      <c r="F394" t="inlineStr">
        <is>
          <t>KRONOBERGS LÄN</t>
        </is>
      </c>
      <c r="G394" t="inlineStr">
        <is>
          <t>ÄLMHULT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46299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64999-2023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45286</v>
      </c>
      <c r="E396" s="1" t="n">
        <v>46299</v>
      </c>
      <c r="F396" t="inlineStr">
        <is>
          <t>KRONOBERGS LÄN</t>
        </is>
      </c>
      <c r="G396" t="inlineStr">
        <is>
          <t>ÄLMHULT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45181</v>
      </c>
      <c r="E397" s="1" t="n">
        <v>46299</v>
      </c>
      <c r="F397" t="inlineStr">
        <is>
          <t>KRONOBERGS LÄN</t>
        </is>
      </c>
      <c r="G397" t="inlineStr">
        <is>
          <t>ÄLMHULT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46299</v>
      </c>
      <c r="F398" t="inlineStr">
        <is>
          <t>KRONOBERGS LÄN</t>
        </is>
      </c>
      <c r="G398" t="inlineStr">
        <is>
          <t>ÄLMHULT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46299</v>
      </c>
      <c r="F399" t="inlineStr">
        <is>
          <t>KRONOBERGS LÄN</t>
        </is>
      </c>
      <c r="G399" t="inlineStr">
        <is>
          <t>ÄLMHULT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56955-2024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45628</v>
      </c>
      <c r="E400" s="1" t="n">
        <v>46299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46299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45513</v>
      </c>
      <c r="E402" s="1" t="n">
        <v>46299</v>
      </c>
      <c r="F402" t="inlineStr">
        <is>
          <t>KRONOBERGS LÄN</t>
        </is>
      </c>
      <c r="G402" t="inlineStr">
        <is>
          <t>ÄLMHULT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46299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45680</v>
      </c>
      <c r="E404" s="1" t="n">
        <v>46299</v>
      </c>
      <c r="F404" t="inlineStr">
        <is>
          <t>KRONOBERGS LÄN</t>
        </is>
      </c>
      <c r="G404" t="inlineStr">
        <is>
          <t>ÄLMHULT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46299</v>
      </c>
      <c r="F405" t="inlineStr">
        <is>
          <t>KRONOBERGS LÄN</t>
        </is>
      </c>
      <c r="G405" t="inlineStr">
        <is>
          <t>ÄLMHULT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46299</v>
      </c>
      <c r="F406" t="inlineStr">
        <is>
          <t>KRONOBERGS LÄN</t>
        </is>
      </c>
      <c r="G406" t="inlineStr">
        <is>
          <t>ÄLMHULT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46299</v>
      </c>
      <c r="F407" t="inlineStr">
        <is>
          <t>KRONOBERGS LÄN</t>
        </is>
      </c>
      <c r="G407" t="inlineStr">
        <is>
          <t>ÄLMHULT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46299</v>
      </c>
      <c r="F408" t="inlineStr">
        <is>
          <t>KRONOBERGS LÄN</t>
        </is>
      </c>
      <c r="G408" t="inlineStr">
        <is>
          <t>ÄLMHULT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45251</v>
      </c>
      <c r="E409" s="1" t="n">
        <v>46299</v>
      </c>
      <c r="F409" t="inlineStr">
        <is>
          <t>KRONOBERGS LÄN</t>
        </is>
      </c>
      <c r="G409" t="inlineStr">
        <is>
          <t>ÄLMHULT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46299</v>
      </c>
      <c r="F410" t="inlineStr">
        <is>
          <t>KRONOBERGS LÄN</t>
        </is>
      </c>
      <c r="G410" t="inlineStr">
        <is>
          <t>ÄLMHULT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46299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46299</v>
      </c>
      <c r="F412" t="inlineStr">
        <is>
          <t>KRONOBERGS LÄN</t>
        </is>
      </c>
      <c r="G412" t="inlineStr">
        <is>
          <t>ÄLMHULT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46299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46299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46299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45792</v>
      </c>
      <c r="E416" s="1" t="n">
        <v>46299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46299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45421</v>
      </c>
      <c r="E418" s="1" t="n">
        <v>46299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46299</v>
      </c>
      <c r="F419" t="inlineStr">
        <is>
          <t>KRONOBERGS LÄN</t>
        </is>
      </c>
      <c r="G419" t="inlineStr">
        <is>
          <t>ÄLMHULT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46299</v>
      </c>
      <c r="F420" t="inlineStr">
        <is>
          <t>KRONOBERGS LÄN</t>
        </is>
      </c>
      <c r="G420" t="inlineStr">
        <is>
          <t>ÄLMHULT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46299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46299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46299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46299</v>
      </c>
      <c r="F424" t="inlineStr">
        <is>
          <t>KRONOBERGS LÄN</t>
        </is>
      </c>
      <c r="G424" t="inlineStr">
        <is>
          <t>ÄLMHULT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46299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46299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46299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46299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55629-2021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44476</v>
      </c>
      <c r="E429" s="1" t="n">
        <v>46299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46202</v>
      </c>
      <c r="E430" s="1" t="n">
        <v>46299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46299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46299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46299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11014-2023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44986</v>
      </c>
      <c r="E434" s="1" t="n">
        <v>46299</v>
      </c>
      <c r="F434" t="inlineStr">
        <is>
          <t>KRONOBERGS LÄN</t>
        </is>
      </c>
      <c r="G434" t="inlineStr">
        <is>
          <t>ÄLMHULT</t>
        </is>
      </c>
      <c r="H434" t="inlineStr">
        <is>
          <t>Kyrkan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46299</v>
      </c>
      <c r="F435" t="inlineStr">
        <is>
          <t>KRONOBERGS LÄN</t>
        </is>
      </c>
      <c r="G435" t="inlineStr">
        <is>
          <t>ÄLMHULT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46299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46299</v>
      </c>
      <c r="F437" t="inlineStr">
        <is>
          <t>KRONOBERGS LÄN</t>
        </is>
      </c>
      <c r="G437" t="inlineStr">
        <is>
          <t>ÄLMHULT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46299</v>
      </c>
      <c r="F438" t="inlineStr">
        <is>
          <t>KRONOBERGS LÄN</t>
        </is>
      </c>
      <c r="G438" t="inlineStr">
        <is>
          <t>ÄLMHULT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46299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46299</v>
      </c>
      <c r="F440" t="inlineStr">
        <is>
          <t>KRONOBERGS LÄN</t>
        </is>
      </c>
      <c r="G440" t="inlineStr">
        <is>
          <t>ÄLMHULT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46299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46299</v>
      </c>
      <c r="F442" t="inlineStr">
        <is>
          <t>KRONOBERGS LÄN</t>
        </is>
      </c>
      <c r="G442" t="inlineStr">
        <is>
          <t>ÄLMHULT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46299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46299</v>
      </c>
      <c r="F444" t="inlineStr">
        <is>
          <t>KRONOBERGS LÄN</t>
        </is>
      </c>
      <c r="G444" t="inlineStr">
        <is>
          <t>ÄLMHULT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45081</v>
      </c>
      <c r="E445" s="1" t="n">
        <v>46299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46299</v>
      </c>
      <c r="F446" t="inlineStr">
        <is>
          <t>KRONOBERGS LÄN</t>
        </is>
      </c>
      <c r="G446" t="inlineStr">
        <is>
          <t>ÄLMHULT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46299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45595</v>
      </c>
      <c r="E448" s="1" t="n">
        <v>46299</v>
      </c>
      <c r="F448" t="inlineStr">
        <is>
          <t>KRONOBERGS LÄN</t>
        </is>
      </c>
      <c r="G448" t="inlineStr">
        <is>
          <t>ÄLMHULT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44942</v>
      </c>
      <c r="E449" s="1" t="n">
        <v>46299</v>
      </c>
      <c r="F449" t="inlineStr">
        <is>
          <t>KRONOBERGS LÄN</t>
        </is>
      </c>
      <c r="G449" t="inlineStr">
        <is>
          <t>ÄLMHULT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46299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46299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45373</v>
      </c>
      <c r="E452" s="1" t="n">
        <v>46299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46299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46257</v>
      </c>
      <c r="E454" s="1" t="n">
        <v>46299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46299</v>
      </c>
      <c r="F455" t="inlineStr">
        <is>
          <t>KRONOBERGS LÄN</t>
        </is>
      </c>
      <c r="G455" t="inlineStr">
        <is>
          <t>ÄLMHULT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46299</v>
      </c>
      <c r="F456" t="inlineStr">
        <is>
          <t>KRONOBERGS LÄN</t>
        </is>
      </c>
      <c r="G456" t="inlineStr">
        <is>
          <t>ÄLMHULT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46299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46299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46299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46299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46299</v>
      </c>
      <c r="F461" t="inlineStr">
        <is>
          <t>KRONOBERGS LÄN</t>
        </is>
      </c>
      <c r="G461" t="inlineStr">
        <is>
          <t>ÄLMHULT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46299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45564</v>
      </c>
      <c r="E463" s="1" t="n">
        <v>46299</v>
      </c>
      <c r="F463" t="inlineStr">
        <is>
          <t>KRONOBERGS LÄN</t>
        </is>
      </c>
      <c r="G463" t="inlineStr">
        <is>
          <t>ÄLMHULT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45010</v>
      </c>
      <c r="E464" s="1" t="n">
        <v>46299</v>
      </c>
      <c r="F464" t="inlineStr">
        <is>
          <t>KRONOBERGS LÄN</t>
        </is>
      </c>
      <c r="G464" t="inlineStr">
        <is>
          <t>ÄLMHULT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46299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46299</v>
      </c>
      <c r="F466" t="inlineStr">
        <is>
          <t>KRONOBERGS LÄN</t>
        </is>
      </c>
      <c r="G466" t="inlineStr">
        <is>
          <t>ÄLMHULT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45214</v>
      </c>
      <c r="E467" s="1" t="n">
        <v>46299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46299</v>
      </c>
      <c r="F468" t="inlineStr">
        <is>
          <t>KRONOBERGS LÄN</t>
        </is>
      </c>
      <c r="G468" t="inlineStr">
        <is>
          <t>ÄLMHULT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46299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46299</v>
      </c>
      <c r="F470" t="inlineStr">
        <is>
          <t>KRONOBERGS LÄN</t>
        </is>
      </c>
      <c r="G470" t="inlineStr">
        <is>
          <t>ÄLMHULT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45539</v>
      </c>
      <c r="E471" s="1" t="n">
        <v>46299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45355</v>
      </c>
      <c r="E472" s="1" t="n">
        <v>46299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44882</v>
      </c>
      <c r="E473" s="1" t="n">
        <v>46299</v>
      </c>
      <c r="F473" t="inlineStr">
        <is>
          <t>KRONOBERGS LÄN</t>
        </is>
      </c>
      <c r="G473" t="inlineStr">
        <is>
          <t>ÄLMHULT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46299</v>
      </c>
      <c r="F474" t="inlineStr">
        <is>
          <t>KRONOBERGS LÄN</t>
        </is>
      </c>
      <c r="G474" t="inlineStr">
        <is>
          <t>ÄLMHULT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41577-2023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45175</v>
      </c>
      <c r="E475" s="1" t="n">
        <v>46299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45076</v>
      </c>
      <c r="E476" s="1" t="n">
        <v>46299</v>
      </c>
      <c r="F476" t="inlineStr">
        <is>
          <t>KRONOBERGS LÄN</t>
        </is>
      </c>
      <c r="G476" t="inlineStr">
        <is>
          <t>ÄLMHULT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45076</v>
      </c>
      <c r="E477" s="1" t="n">
        <v>46299</v>
      </c>
      <c r="F477" t="inlineStr">
        <is>
          <t>KRONOBERGS LÄN</t>
        </is>
      </c>
      <c r="G477" t="inlineStr">
        <is>
          <t>ÄLMHULT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46299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46299</v>
      </c>
      <c r="F479" t="inlineStr">
        <is>
          <t>KRONOBERGS LÄN</t>
        </is>
      </c>
      <c r="G479" t="inlineStr">
        <is>
          <t>ÄLMHULT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46226</v>
      </c>
      <c r="E480" s="1" t="n">
        <v>46299</v>
      </c>
      <c r="F480" t="inlineStr">
        <is>
          <t>KRONOBERGS LÄN</t>
        </is>
      </c>
      <c r="G480" t="inlineStr">
        <is>
          <t>ÄLMHULT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46299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46299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45653</v>
      </c>
      <c r="E483" s="1" t="n">
        <v>46299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68212-2021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44526</v>
      </c>
      <c r="E484" s="1" t="n">
        <v>46299</v>
      </c>
      <c r="F484" t="inlineStr">
        <is>
          <t>KRONOBERGS LÄN</t>
        </is>
      </c>
      <c r="G484" t="inlineStr">
        <is>
          <t>ÄLMHULT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45612</v>
      </c>
      <c r="E485" s="1" t="n">
        <v>46299</v>
      </c>
      <c r="F485" t="inlineStr">
        <is>
          <t>KRONOBERGS LÄN</t>
        </is>
      </c>
      <c r="G485" t="inlineStr">
        <is>
          <t>ÄLMHULT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46299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56660-2024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46299</v>
      </c>
      <c r="F487" t="inlineStr">
        <is>
          <t>KRONOBERGS LÄN</t>
        </is>
      </c>
      <c r="G487" t="inlineStr">
        <is>
          <t>ÄLMHULT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46227</v>
      </c>
      <c r="E488" s="1" t="n">
        <v>46299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46299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45222</v>
      </c>
      <c r="E490" s="1" t="n">
        <v>46299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46234</v>
      </c>
      <c r="E491" s="1" t="n">
        <v>46299</v>
      </c>
      <c r="F491" t="inlineStr">
        <is>
          <t>KRONOBERGS LÄN</t>
        </is>
      </c>
      <c r="G491" t="inlineStr">
        <is>
          <t>ÄLMHULT</t>
        </is>
      </c>
      <c r="H491" t="inlineStr">
        <is>
          <t>Kommuner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46299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46299</v>
      </c>
      <c r="F493" t="inlineStr">
        <is>
          <t>KRONOBERGS LÄN</t>
        </is>
      </c>
      <c r="G493" t="inlineStr">
        <is>
          <t>ÄLMHULT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45435</v>
      </c>
      <c r="E494" s="1" t="n">
        <v>46299</v>
      </c>
      <c r="F494" t="inlineStr">
        <is>
          <t>KRONOBERGS LÄN</t>
        </is>
      </c>
      <c r="G494" t="inlineStr">
        <is>
          <t>ÄLMHULT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46299</v>
      </c>
      <c r="F495" t="inlineStr">
        <is>
          <t>KRONOBERGS LÄN</t>
        </is>
      </c>
      <c r="G495" t="inlineStr">
        <is>
          <t>ÄLMHULT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46299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44911</v>
      </c>
      <c r="E497" s="1" t="n">
        <v>46299</v>
      </c>
      <c r="F497" t="inlineStr">
        <is>
          <t>KRONOBERGS LÄN</t>
        </is>
      </c>
      <c r="G497" t="inlineStr">
        <is>
          <t>ÄLMHULT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46280</v>
      </c>
      <c r="E498" s="1" t="n">
        <v>46299</v>
      </c>
      <c r="F498" t="inlineStr">
        <is>
          <t>KRONOBERGS LÄN</t>
        </is>
      </c>
      <c r="G498" t="inlineStr">
        <is>
          <t>ÄLMHULT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46299</v>
      </c>
      <c r="F499" t="inlineStr">
        <is>
          <t>KRONOBERGS LÄN</t>
        </is>
      </c>
      <c r="G499" t="inlineStr">
        <is>
          <t>ÄLMHULT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45378</v>
      </c>
      <c r="E500" s="1" t="n">
        <v>46299</v>
      </c>
      <c r="F500" t="inlineStr">
        <is>
          <t>KRONOBERGS LÄN</t>
        </is>
      </c>
      <c r="G500" t="inlineStr">
        <is>
          <t>ÄLMHULT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46299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46299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46299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46299</v>
      </c>
      <c r="F504" t="inlineStr">
        <is>
          <t>KRONOBERGS LÄN</t>
        </is>
      </c>
      <c r="G504" t="inlineStr">
        <is>
          <t>ÄLMHULT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46299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46240</v>
      </c>
      <c r="E506" s="1" t="n">
        <v>46299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46299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46299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46299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46299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44698</v>
      </c>
      <c r="E511" s="1" t="n">
        <v>46299</v>
      </c>
      <c r="F511" t="inlineStr">
        <is>
          <t>KRONOBERGS LÄN</t>
        </is>
      </c>
      <c r="G511" t="inlineStr">
        <is>
          <t>ÄLMHULT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46299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46299</v>
      </c>
      <c r="F513" t="inlineStr">
        <is>
          <t>KRONOBERGS LÄN</t>
        </is>
      </c>
      <c r="G513" t="inlineStr">
        <is>
          <t>ÄLMHULT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43522-2025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45911</v>
      </c>
      <c r="E514" s="1" t="n">
        <v>46299</v>
      </c>
      <c r="F514" t="inlineStr">
        <is>
          <t>KRONOBERGS LÄN</t>
        </is>
      </c>
      <c r="G514" t="inlineStr">
        <is>
          <t>ÄLMHULT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46299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44687</v>
      </c>
      <c r="E516" s="1" t="n">
        <v>46299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46299</v>
      </c>
      <c r="F517" t="inlineStr">
        <is>
          <t>KRONOBERGS LÄN</t>
        </is>
      </c>
      <c r="G517" t="inlineStr">
        <is>
          <t>ÄLMHULT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49565-2023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46299</v>
      </c>
      <c r="F518" t="inlineStr">
        <is>
          <t>KRONOBERGS LÄN</t>
        </is>
      </c>
      <c r="G518" t="inlineStr">
        <is>
          <t>ÄLMHULT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46299</v>
      </c>
      <c r="F519" t="inlineStr">
        <is>
          <t>KRONOBERGS LÄN</t>
        </is>
      </c>
      <c r="G519" t="inlineStr">
        <is>
          <t>ÄLMHULT</t>
        </is>
      </c>
      <c r="I519" t="n">
        <v>29.1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46299</v>
      </c>
      <c r="F520" t="inlineStr">
        <is>
          <t>KRONOBERGS LÄN</t>
        </is>
      </c>
      <c r="G520" t="inlineStr">
        <is>
          <t>ÄLMHULT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45450</v>
      </c>
      <c r="E521" s="1" t="n">
        <v>46299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46299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46299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46299</v>
      </c>
      <c r="F524" t="inlineStr">
        <is>
          <t>KRONOBERGS LÄN</t>
        </is>
      </c>
      <c r="G524" t="inlineStr">
        <is>
          <t>ÄLMHULT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46299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46299</v>
      </c>
      <c r="F526" t="inlineStr">
        <is>
          <t>KRONOBERGS LÄN</t>
        </is>
      </c>
      <c r="G526" t="inlineStr">
        <is>
          <t>ÄLMHULT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46299</v>
      </c>
      <c r="F527" t="inlineStr">
        <is>
          <t>KRONOBERGS LÄN</t>
        </is>
      </c>
      <c r="G527" t="inlineStr">
        <is>
          <t>ÄLMHULT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46299</v>
      </c>
      <c r="F528" t="inlineStr">
        <is>
          <t>KRONOBERGS LÄN</t>
        </is>
      </c>
      <c r="G528" t="inlineStr">
        <is>
          <t>ÄLMHULT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46299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46299</v>
      </c>
      <c r="F530" t="inlineStr">
        <is>
          <t>KRONOBERGS LÄN</t>
        </is>
      </c>
      <c r="G530" t="inlineStr">
        <is>
          <t>ÄLMHULT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46299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46299</v>
      </c>
      <c r="F532" t="inlineStr">
        <is>
          <t>KRONOBERGS LÄN</t>
        </is>
      </c>
      <c r="G532" t="inlineStr">
        <is>
          <t>ÄLMHULT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46299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46299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45078</v>
      </c>
      <c r="E535" s="1" t="n">
        <v>46299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46299</v>
      </c>
      <c r="F536" t="inlineStr">
        <is>
          <t>KRONOBERGS LÄN</t>
        </is>
      </c>
      <c r="G536" t="inlineStr">
        <is>
          <t>ÄLMHULT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46299</v>
      </c>
      <c r="F537" t="inlineStr">
        <is>
          <t>KRONOBERGS LÄN</t>
        </is>
      </c>
      <c r="G537" t="inlineStr">
        <is>
          <t>ÄLMHULT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44502-2025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45916</v>
      </c>
      <c r="E538" s="1" t="n">
        <v>46299</v>
      </c>
      <c r="F538" t="inlineStr">
        <is>
          <t>KRONOBERGS LÄN</t>
        </is>
      </c>
      <c r="G538" t="inlineStr">
        <is>
          <t>ÄLMHULT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46299</v>
      </c>
      <c r="F539" t="inlineStr">
        <is>
          <t>KRONOBERGS LÄN</t>
        </is>
      </c>
      <c r="G539" t="inlineStr">
        <is>
          <t>ÄLMHULT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45574</v>
      </c>
      <c r="E540" s="1" t="n">
        <v>46299</v>
      </c>
      <c r="F540" t="inlineStr">
        <is>
          <t>KRONOBERGS LÄN</t>
        </is>
      </c>
      <c r="G540" t="inlineStr">
        <is>
          <t>ÄLMHULT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46299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24248-2026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46299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46299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46248</v>
      </c>
      <c r="E544" s="1" t="n">
        <v>46299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46299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46299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46299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46299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46290</v>
      </c>
      <c r="E549" s="1" t="n">
        <v>46299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46299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45687</v>
      </c>
      <c r="E551" s="1" t="n">
        <v>46299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44858</v>
      </c>
      <c r="E552" s="1" t="n">
        <v>46299</v>
      </c>
      <c r="F552" t="inlineStr">
        <is>
          <t>KRONOBERGS LÄN</t>
        </is>
      </c>
      <c r="G552" t="inlineStr">
        <is>
          <t>ÄLMHULT</t>
        </is>
      </c>
      <c r="I552" t="n">
        <v>14.2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35478-2026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46262</v>
      </c>
      <c r="E553" s="1" t="n">
        <v>46299</v>
      </c>
      <c r="F553" t="inlineStr">
        <is>
          <t>KRONOBERGS LÄN</t>
        </is>
      </c>
      <c r="G553" t="inlineStr">
        <is>
          <t>ÄLMHULT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45539</v>
      </c>
      <c r="E554" s="1" t="n">
        <v>46299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52332-2024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46299</v>
      </c>
      <c r="F555" t="inlineStr">
        <is>
          <t>KRONOBERGS LÄN</t>
        </is>
      </c>
      <c r="G555" t="inlineStr">
        <is>
          <t>ÄLMHULT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46299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69444-2021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46299</v>
      </c>
      <c r="F557" t="inlineStr">
        <is>
          <t>KRONOBERGS LÄN</t>
        </is>
      </c>
      <c r="G557" t="inlineStr">
        <is>
          <t>ÄLMHULT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46299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40479-2026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46295</v>
      </c>
      <c r="E559" s="1" t="n">
        <v>46299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45679</v>
      </c>
      <c r="E560" s="1" t="n">
        <v>46299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40320-2026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46299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46299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69454-2021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44531</v>
      </c>
      <c r="E563" s="1" t="n">
        <v>46299</v>
      </c>
      <c r="F563" t="inlineStr">
        <is>
          <t>KRONOBERGS LÄN</t>
        </is>
      </c>
      <c r="G563" t="inlineStr">
        <is>
          <t>ÄLMHULT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46299</v>
      </c>
      <c r="F564" t="inlineStr">
        <is>
          <t>KRONOBERGS LÄN</t>
        </is>
      </c>
      <c r="G564" t="inlineStr">
        <is>
          <t>ÄLMHULT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46299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46299</v>
      </c>
      <c r="F566" t="inlineStr">
        <is>
          <t>KRONOBERGS LÄN</t>
        </is>
      </c>
      <c r="G566" t="inlineStr">
        <is>
          <t>ÄLMHULT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46299</v>
      </c>
      <c r="F567" t="inlineStr">
        <is>
          <t>KRONOBERGS LÄN</t>
        </is>
      </c>
      <c r="G567" t="inlineStr">
        <is>
          <t>ÄLMHULT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22415-2024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45446</v>
      </c>
      <c r="E568" s="1" t="n">
        <v>46299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46299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46299</v>
      </c>
      <c r="F570" t="inlineStr">
        <is>
          <t>KRONOBERGS LÄN</t>
        </is>
      </c>
      <c r="G570" t="inlineStr">
        <is>
          <t>ÄLMHULT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44587</v>
      </c>
      <c r="E571" s="1" t="n">
        <v>46299</v>
      </c>
      <c r="F571" t="inlineStr">
        <is>
          <t>KRONOBERGS LÄN</t>
        </is>
      </c>
      <c r="G571" t="inlineStr">
        <is>
          <t>ÄLMHULT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46299</v>
      </c>
      <c r="F572" t="inlineStr">
        <is>
          <t>KRONOBERGS LÄN</t>
        </is>
      </c>
      <c r="G572" t="inlineStr">
        <is>
          <t>ÄLMHULT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44582</v>
      </c>
      <c r="E573" s="1" t="n">
        <v>46299</v>
      </c>
      <c r="F573" t="inlineStr">
        <is>
          <t>KRONOBERGS LÄN</t>
        </is>
      </c>
      <c r="G573" t="inlineStr">
        <is>
          <t>ÄLMHULT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45759</v>
      </c>
      <c r="E574" s="1" t="n">
        <v>46299</v>
      </c>
      <c r="F574" t="inlineStr">
        <is>
          <t>KRONOBERGS LÄN</t>
        </is>
      </c>
      <c r="G574" t="inlineStr">
        <is>
          <t>ÄLMHULT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46299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46299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46299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44897</v>
      </c>
      <c r="E578" s="1" t="n">
        <v>46299</v>
      </c>
      <c r="F578" t="inlineStr">
        <is>
          <t>KRONOBERGS LÄN</t>
        </is>
      </c>
      <c r="G578" t="inlineStr">
        <is>
          <t>ÄLMHULT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45583</v>
      </c>
      <c r="E579" s="1" t="n">
        <v>46299</v>
      </c>
      <c r="F579" t="inlineStr">
        <is>
          <t>KRONOBERGS LÄN</t>
        </is>
      </c>
      <c r="G579" t="inlineStr">
        <is>
          <t>ÄLMHULT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45594</v>
      </c>
      <c r="E580" s="1" t="n">
        <v>46299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46299</v>
      </c>
      <c r="F581" t="inlineStr">
        <is>
          <t>KRONOBERGS LÄN</t>
        </is>
      </c>
      <c r="G581" t="inlineStr">
        <is>
          <t>ÄLMHULT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45401</v>
      </c>
      <c r="E582" s="1" t="n">
        <v>46299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46299</v>
      </c>
      <c r="F583" t="inlineStr">
        <is>
          <t>KRONOBERGS LÄN</t>
        </is>
      </c>
      <c r="G583" t="inlineStr">
        <is>
          <t>ÄLMHULT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46299</v>
      </c>
      <c r="F584" t="inlineStr">
        <is>
          <t>KRONOBERGS LÄN</t>
        </is>
      </c>
      <c r="G584" t="inlineStr">
        <is>
          <t>ÄLMHULT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45103</v>
      </c>
      <c r="E585" s="1" t="n">
        <v>46299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44760</v>
      </c>
      <c r="E586" s="1" t="n">
        <v>46299</v>
      </c>
      <c r="F586" t="inlineStr">
        <is>
          <t>KRONOBERGS LÄN</t>
        </is>
      </c>
      <c r="G586" t="inlineStr">
        <is>
          <t>ÄLMHULT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68189-2021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44526</v>
      </c>
      <c r="E587" s="1" t="n">
        <v>46299</v>
      </c>
      <c r="F587" t="inlineStr">
        <is>
          <t>KRONOBERGS LÄN</t>
        </is>
      </c>
      <c r="G587" t="inlineStr">
        <is>
          <t>ÄLMHULT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46299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46299</v>
      </c>
      <c r="F589" t="inlineStr">
        <is>
          <t>KRONOBERGS LÄN</t>
        </is>
      </c>
      <c r="G589" t="inlineStr">
        <is>
          <t>ÄLMHULT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45244</v>
      </c>
      <c r="E590" s="1" t="n">
        <v>46299</v>
      </c>
      <c r="F590" t="inlineStr">
        <is>
          <t>KRONOBERGS LÄN</t>
        </is>
      </c>
      <c r="G590" t="inlineStr">
        <is>
          <t>ÄLMHULT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45051</v>
      </c>
      <c r="E591" s="1" t="n">
        <v>46299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46299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62122-2022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46299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46299</v>
      </c>
      <c r="F594" t="inlineStr">
        <is>
          <t>KRONOBERGS LÄN</t>
        </is>
      </c>
      <c r="G594" t="inlineStr">
        <is>
          <t>ÄLMHULT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44568</v>
      </c>
      <c r="E595" s="1" t="n">
        <v>46299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44634</v>
      </c>
      <c r="E596" s="1" t="n">
        <v>46299</v>
      </c>
      <c r="F596" t="inlineStr">
        <is>
          <t>KRONOBERGS LÄN</t>
        </is>
      </c>
      <c r="G596" t="inlineStr">
        <is>
          <t>ÄLMHULT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44592</v>
      </c>
      <c r="E597" s="1" t="n">
        <v>46299</v>
      </c>
      <c r="F597" t="inlineStr">
        <is>
          <t>KRONOBERGS LÄN</t>
        </is>
      </c>
      <c r="G597" t="inlineStr">
        <is>
          <t>ÄLMHULT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44777</v>
      </c>
      <c r="E598" s="1" t="n">
        <v>46299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44942</v>
      </c>
      <c r="E599" s="1" t="n">
        <v>46299</v>
      </c>
      <c r="F599" t="inlineStr">
        <is>
          <t>KRONOBERGS LÄN</t>
        </is>
      </c>
      <c r="G599" t="inlineStr">
        <is>
          <t>ÄLMHULT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46299</v>
      </c>
      <c r="F600" t="inlineStr">
        <is>
          <t>KRONOBERGS LÄN</t>
        </is>
      </c>
      <c r="G600" t="inlineStr">
        <is>
          <t>ÄLMHULT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63115-2023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45273</v>
      </c>
      <c r="E601" s="1" t="n">
        <v>46299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45497</v>
      </c>
      <c r="E602" s="1" t="n">
        <v>46299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46299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44621</v>
      </c>
      <c r="E604" s="1" t="n">
        <v>46299</v>
      </c>
      <c r="F604" t="inlineStr">
        <is>
          <t>KRONOBERGS LÄN</t>
        </is>
      </c>
      <c r="G604" t="inlineStr">
        <is>
          <t>ÄLMHULT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44922</v>
      </c>
      <c r="E605" s="1" t="n">
        <v>46299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45169</v>
      </c>
      <c r="E606" s="1" t="n">
        <v>46299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49112-2022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44860</v>
      </c>
      <c r="E607" s="1" t="n">
        <v>46299</v>
      </c>
      <c r="F607" t="inlineStr">
        <is>
          <t>KRONOBERGS LÄN</t>
        </is>
      </c>
      <c r="G607" t="inlineStr">
        <is>
          <t>ÄLMHULT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45154</v>
      </c>
      <c r="E608" s="1" t="n">
        <v>46299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12112-2022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44636</v>
      </c>
      <c r="E609" s="1" t="n">
        <v>46299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68552-2021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46299</v>
      </c>
      <c r="F610" t="inlineStr">
        <is>
          <t>KRONOBERGS LÄN</t>
        </is>
      </c>
      <c r="G610" t="inlineStr">
        <is>
          <t>ÄLMHULT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44508</v>
      </c>
      <c r="E611" s="1" t="n">
        <v>46299</v>
      </c>
      <c r="F611" t="inlineStr">
        <is>
          <t>KRONOBERGS LÄN</t>
        </is>
      </c>
      <c r="G611" t="inlineStr">
        <is>
          <t>ÄLMHULT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44858</v>
      </c>
      <c r="E612" s="1" t="n">
        <v>46299</v>
      </c>
      <c r="F612" t="inlineStr">
        <is>
          <t>KRONOBERGS LÄN</t>
        </is>
      </c>
      <c r="G612" t="inlineStr">
        <is>
          <t>ÄLMHULT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46299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45663</v>
      </c>
      <c r="E614" s="1" t="n">
        <v>46299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46299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46299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46299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46299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46299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46299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46299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46299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46299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46299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46299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46299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46299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46299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46299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46299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46299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46299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46299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46299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46299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46299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46299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2026-10-04T02:01:11Z</dcterms:created>
  <dcterms:modified xmlns:dcterms="http://purl.org/dc/terms/" xmlns:xsi="http://www.w3.org/2001/XMLSchema-instance" xsi:type="dcterms:W3CDTF">2026-10-04T02:01:12Z</dcterms:modified>
</cp:coreProperties>
</file>