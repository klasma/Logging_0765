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45744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HYPERLINK("https://klasma.github.io/Logging_0765/artfynd/A 14789-2025 artfynd.xlsx", "A 14789-2025")</f>
        <v/>
      </c>
      <c r="T24">
        <f>HYPERLINK("https://klasma.github.io/Logging_0765/kartor/A 14789-2025 karta.png", "A 14789-2025")</f>
        <v/>
      </c>
      <c r="V24">
        <f>HYPERLINK("https://klasma.github.io/Logging_0765/klagomål/A 14789-2025 FSC-klagomål.docx", "A 14789-2025")</f>
        <v/>
      </c>
      <c r="W24">
        <f>HYPERLINK("https://klasma.github.io/Logging_0765/klagomålsmail/A 14789-2025 FSC-klagomål mail.docx", "A 14789-2025")</f>
        <v/>
      </c>
      <c r="X24">
        <f>HYPERLINK("https://klasma.github.io/Logging_0765/tillsyn/A 14789-2025 tillsynsbegäran.docx", "A 14789-2025")</f>
        <v/>
      </c>
      <c r="Y24">
        <f>HYPERLINK("https://klasma.github.io/Logging_0765/tillsynsmail/A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45744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45744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45744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45744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45744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45744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45744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45744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45744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45744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45744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45744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45744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45744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45744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45744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45744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45744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45744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45744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45744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45744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45744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45744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45744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45744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45744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45744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45744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45744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45744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45744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45744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45744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45744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45744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45744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45744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45744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45744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45744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45744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45744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45744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45744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45744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45744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45744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45744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45744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45744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45744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45744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45744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45744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45744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45744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45744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45744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45744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45744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45744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45744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45744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45744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45744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45744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45744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45744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45744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45744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45744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45744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45744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45744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45744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45744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45744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45744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45744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45744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45744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45744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45744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45744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45744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45744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45744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45744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45744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45744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45744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45744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45744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45744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45744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45744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45744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45744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45744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45744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45744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45744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45744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45744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45744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45744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45744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45744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45744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45744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45744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45744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45744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45744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45744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45744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45744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45744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45744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45744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45744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45744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45744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45744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45744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45744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45744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45744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45744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45744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45744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45744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45744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45744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45744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45744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45744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45744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45744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45744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45744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45744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45744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45744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45744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45744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45744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45744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45744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45744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45744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45744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45744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45744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45744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45744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45744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45744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45744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45744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45744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45744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45744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45744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45744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45744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45744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45744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45744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45744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45744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45744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45744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45744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45744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45744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45744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45744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45744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45744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45744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45744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45744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45744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45744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45744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45744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45744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45744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45744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45744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45744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45744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45744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45744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45744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45744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45744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45744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45744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45744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45744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45744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45744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45744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45744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45744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45744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45744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45744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45744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45744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45744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45744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45744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45744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45744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45744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45744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45744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45744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45744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45744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45744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45744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45744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45744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45744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45744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45744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45744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45744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45744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45744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45744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45744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45744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45744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45744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45744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45744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45744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45744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45744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45744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45744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45744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45744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45744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45744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45744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45744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45744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45744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45744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45744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45744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45744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45744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45744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45744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45744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45744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45744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45744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45744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45744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45744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45744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45744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45744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45744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45744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45744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45744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45744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45744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45744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45744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45744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45744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45744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45744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45744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45744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45744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45744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45744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45744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45744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45744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45744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45744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45744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45744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45744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45744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45744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45744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45744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45744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45744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45744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45744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45744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45744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45744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45744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45744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45744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45744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45744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45744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45744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45744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45744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45744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45744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45744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45744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45744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45744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45744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45744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45744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45744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45744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45744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45744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45744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45744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45744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45744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45744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45744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45744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45744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45744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45744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45744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45744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45744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45744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45744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45744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45744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45744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45744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45744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45744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45744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45744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45744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45744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45744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45744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45744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45744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45744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45744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45744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45744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45744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45744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45744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45744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45744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45744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45744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45744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45744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45744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45744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45744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45744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45744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45744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45744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45744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45744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45744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45744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45744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45744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45744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45744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45744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45744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45744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45744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45744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45744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45744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45744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45744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45744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45744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45744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45744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45744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45744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45744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45744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45744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45744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45744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45744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45744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45744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45744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45744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45744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45744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45744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45744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45744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45744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45744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45744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45744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45744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45744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45744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45744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45744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45744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45744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45744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45744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45744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45744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45744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45744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45744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45744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45744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45744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45744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45744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45744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45744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45744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45744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45744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45744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45744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45744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45744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45744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45744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45744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45744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45744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45744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45744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45744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45744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45744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45744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45744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45744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45744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45744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45744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45744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45744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45744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45744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45744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45744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45744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45744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45744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45744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45744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45744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45744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45744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45744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45744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45744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45744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45744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45744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45744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45744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45744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45744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45744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45744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45744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45744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45744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45744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45744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45744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45744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45744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45744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45744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45744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45744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45744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45744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45744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45744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45744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45744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45744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45744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45744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45744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45744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45744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45744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45744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45744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45744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45744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45744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45744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45744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45744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45744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45744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45744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45744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45744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45744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45744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45744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45744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45744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45744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45744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45744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45744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45744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45744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45744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45744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45744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45744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45744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45744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45744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45744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45744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45744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45744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45744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45744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45744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45744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45744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45744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45744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45744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45744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45744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45744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45744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45744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45744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45744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45744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45744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45744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45744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45744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45744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45744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45744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45744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45744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45744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45744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45744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45744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45744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45744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45744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45744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45744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45744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45744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45744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45744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45744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45744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45744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45744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45744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45744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45744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45744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45744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45744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45744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45744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45744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45744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45744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45744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45744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45744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45744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45744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45744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45744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45744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45744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45744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45744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45744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45744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45744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45744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45744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45744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45744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45744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45744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45744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45744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45744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45744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45744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45744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45744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45744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45744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45744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45744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45744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45744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45744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45744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45744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45744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45744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45744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45744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45744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45744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45744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45744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45744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45744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45744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45744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45744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45744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45744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45744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45744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45744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45744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45744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45744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45744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45744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45744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45744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45744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45744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45744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45744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45744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45744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45744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45744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45744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45744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45744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45744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45744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45744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45744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45744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45744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45744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45744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45744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45744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45744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45744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45744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45744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45744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45744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45744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45744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45744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45744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45744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45744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45744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45744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45744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45744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45744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45744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45744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45744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45744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45744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45744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45744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45744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45744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45744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45744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45744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45744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45744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45744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45744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45744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45744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45744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45744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45744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45744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45744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45744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45744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45744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45744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45744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45744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45744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45744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45744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45744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45744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45744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45744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45744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45744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45744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45744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45744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45744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45744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45744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45744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45744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45744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45744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45744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45744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45744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45744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45744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45744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45744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45744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45744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45744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45744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45744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45744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45744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45744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45744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45744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45744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45744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45744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45744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45744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45744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45744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45744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45744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45744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45744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45744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45744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45744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45744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45744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45744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45744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45744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45744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45744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45744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45744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45744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45744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45744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45744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45744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45744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45744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45744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45744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45744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45744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45744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45744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45744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45744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45744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45744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45744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45744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45744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45744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45744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45744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45744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45744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45744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45744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45744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45744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45744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45744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45744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45744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45744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45744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45744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45744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45744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45744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45744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45744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45744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45744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45744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45744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45744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45744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45744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45744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45744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45744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45744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45744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45744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45744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45744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45744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45744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45744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45744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45744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45744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45744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45744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45744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45744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45744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45744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45744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45744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45744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45744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45744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45744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45744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45744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45744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45744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45744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45744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45744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45744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45744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45744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45744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45744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45744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45744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45744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45744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45744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45744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45744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45744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45744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45744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45744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45744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45744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45744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45744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45744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45744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45744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45744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45744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45744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45744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45744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45744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45744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45744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45744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45744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45744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45744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45744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45744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45744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45744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45744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45744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45744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45744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45744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45744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45744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45744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45744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45744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45744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45744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45744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45744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45744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45744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45744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45744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45744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45744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45744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45744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45744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45744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45744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45744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45744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45744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45744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45744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45744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45744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45744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45744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45744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45744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45744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45744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45744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45744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45744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45744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45744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45744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45744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45744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45744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45744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45744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45744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45744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45744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45744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45744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45744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45744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45744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45744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45744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45744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45744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45744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45744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45744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45744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45744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45744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45744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45744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45744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45744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45744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45744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45744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45744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45744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45744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45744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45744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45744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45744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45744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45744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45744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45744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45744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45744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45744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45744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45744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45744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45744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45744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45744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45744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45744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45744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45744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45744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45744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45744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45744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45744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45744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45744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45744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45744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45744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45744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45744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45744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45744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45744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45744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45744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45744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45744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45744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45744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45744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45744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45744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45744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45744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45744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45744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45744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45744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45744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45744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45744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45744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45744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45744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45744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45744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45744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45744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45744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45744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45744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45744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45744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45744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45744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45744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45744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45744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45744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45744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45744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45744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45744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45744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45744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45744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45744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45744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9765-2025</t>
        </is>
      </c>
      <c r="B1094" s="1" t="n">
        <v>45716</v>
      </c>
      <c r="C1094" s="1" t="n">
        <v>45744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9773-2025</t>
        </is>
      </c>
      <c r="B1095" s="1" t="n">
        <v>45716</v>
      </c>
      <c r="C1095" s="1" t="n">
        <v>45744</v>
      </c>
      <c r="D1095" t="inlineStr">
        <is>
          <t>KRONOBERGS LÄN</t>
        </is>
      </c>
      <c r="E1095" t="inlineStr">
        <is>
          <t>ÄLMHULT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45744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45744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9760-2025</t>
        </is>
      </c>
      <c r="B1098" s="1" t="n">
        <v>45716</v>
      </c>
      <c r="C1098" s="1" t="n">
        <v>45744</v>
      </c>
      <c r="D1098" t="inlineStr">
        <is>
          <t>KRONOBERGS LÄN</t>
        </is>
      </c>
      <c r="E1098" t="inlineStr">
        <is>
          <t>ÄLMHULT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9776-2025</t>
        </is>
      </c>
      <c r="B1099" s="1" t="n">
        <v>45716</v>
      </c>
      <c r="C1099" s="1" t="n">
        <v>45744</v>
      </c>
      <c r="D1099" t="inlineStr">
        <is>
          <t>KRONOBERGS LÄN</t>
        </is>
      </c>
      <c r="E1099" t="inlineStr">
        <is>
          <t>ÄLMHULT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45744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9881-2025</t>
        </is>
      </c>
      <c r="B1101" s="1" t="n">
        <v>45716</v>
      </c>
      <c r="C1101" s="1" t="n">
        <v>45744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9844-2025</t>
        </is>
      </c>
      <c r="B1102" s="1" t="n">
        <v>45716</v>
      </c>
      <c r="C1102" s="1" t="n">
        <v>45744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9866-2025</t>
        </is>
      </c>
      <c r="B1103" s="1" t="n">
        <v>45716</v>
      </c>
      <c r="C1103" s="1" t="n">
        <v>45744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9870-2025</t>
        </is>
      </c>
      <c r="B1104" s="1" t="n">
        <v>45716</v>
      </c>
      <c r="C1104" s="1" t="n">
        <v>45744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9879-2025</t>
        </is>
      </c>
      <c r="B1105" s="1" t="n">
        <v>45716</v>
      </c>
      <c r="C1105" s="1" t="n">
        <v>45744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9883-2025</t>
        </is>
      </c>
      <c r="B1106" s="1" t="n">
        <v>45716</v>
      </c>
      <c r="C1106" s="1" t="n">
        <v>45744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9869-2025</t>
        </is>
      </c>
      <c r="B1107" s="1" t="n">
        <v>45716</v>
      </c>
      <c r="C1107" s="1" t="n">
        <v>45744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9873-2025</t>
        </is>
      </c>
      <c r="B1108" s="1" t="n">
        <v>45716</v>
      </c>
      <c r="C1108" s="1" t="n">
        <v>45744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9858-2025</t>
        </is>
      </c>
      <c r="B1109" s="1" t="n">
        <v>45716</v>
      </c>
      <c r="C1109" s="1" t="n">
        <v>45744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45744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10018-2025</t>
        </is>
      </c>
      <c r="B1111" s="1" t="n">
        <v>45719</v>
      </c>
      <c r="C1111" s="1" t="n">
        <v>45744</v>
      </c>
      <c r="D1111" t="inlineStr">
        <is>
          <t>KRONOBERGS LÄN</t>
        </is>
      </c>
      <c r="E1111" t="inlineStr">
        <is>
          <t>ÄLMHULT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45744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45744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45744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45744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10744-2025</t>
        </is>
      </c>
      <c r="B1116" s="1" t="n">
        <v>45722</v>
      </c>
      <c r="C1116" s="1" t="n">
        <v>45744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45744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11271-2025</t>
        </is>
      </c>
      <c r="B1118" s="1" t="n">
        <v>45726</v>
      </c>
      <c r="C1118" s="1" t="n">
        <v>45744</v>
      </c>
      <c r="D1118" t="inlineStr">
        <is>
          <t>KRONOBERGS LÄN</t>
        </is>
      </c>
      <c r="E1118" t="inlineStr">
        <is>
          <t>ÄLMHULT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11376-2025</t>
        </is>
      </c>
      <c r="B1119" s="1" t="n">
        <v>45726</v>
      </c>
      <c r="C1119" s="1" t="n">
        <v>45744</v>
      </c>
      <c r="D1119" t="inlineStr">
        <is>
          <t>KRONOBERGS LÄN</t>
        </is>
      </c>
      <c r="E1119" t="inlineStr">
        <is>
          <t>ÄLMHULT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45744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45744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45744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45744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11352-2025</t>
        </is>
      </c>
      <c r="B1124" s="1" t="n">
        <v>45726</v>
      </c>
      <c r="C1124" s="1" t="n">
        <v>45744</v>
      </c>
      <c r="D1124" t="inlineStr">
        <is>
          <t>KRONOBERGS LÄN</t>
        </is>
      </c>
      <c r="E1124" t="inlineStr">
        <is>
          <t>ÄLMHULT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45744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45744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12052-2025</t>
        </is>
      </c>
      <c r="B1127" s="1" t="n">
        <v>45728</v>
      </c>
      <c r="C1127" s="1" t="n">
        <v>45744</v>
      </c>
      <c r="D1127" t="inlineStr">
        <is>
          <t>KRONOBERGS LÄN</t>
        </is>
      </c>
      <c r="E1127" t="inlineStr">
        <is>
          <t>ÄLMHULT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45744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12650-2025</t>
        </is>
      </c>
      <c r="B1129" s="1" t="n">
        <v>45733</v>
      </c>
      <c r="C1129" s="1" t="n">
        <v>45744</v>
      </c>
      <c r="D1129" t="inlineStr">
        <is>
          <t>KRONOBERGS LÄN</t>
        </is>
      </c>
      <c r="E1129" t="inlineStr">
        <is>
          <t>ÄLMHULT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45744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12866-2025</t>
        </is>
      </c>
      <c r="B1131" s="1" t="n">
        <v>45733</v>
      </c>
      <c r="C1131" s="1" t="n">
        <v>45744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12753-2025</t>
        </is>
      </c>
      <c r="B1132" s="1" t="n">
        <v>45733</v>
      </c>
      <c r="C1132" s="1" t="n">
        <v>45744</v>
      </c>
      <c r="D1132" t="inlineStr">
        <is>
          <t>KRONOBERGS LÄN</t>
        </is>
      </c>
      <c r="E1132" t="inlineStr">
        <is>
          <t>ÄLMHULT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12848-2025</t>
        </is>
      </c>
      <c r="B1133" s="1" t="n">
        <v>45733</v>
      </c>
      <c r="C1133" s="1" t="n">
        <v>45744</v>
      </c>
      <c r="D1133" t="inlineStr">
        <is>
          <t>KRONOBERGS LÄN</t>
        </is>
      </c>
      <c r="E1133" t="inlineStr">
        <is>
          <t>ÄLMHULT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45744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12880-2025</t>
        </is>
      </c>
      <c r="B1135" s="1" t="n">
        <v>45733</v>
      </c>
      <c r="C1135" s="1" t="n">
        <v>45744</v>
      </c>
      <c r="D1135" t="inlineStr">
        <is>
          <t>KRONOBERGS LÄN</t>
        </is>
      </c>
      <c r="E1135" t="inlineStr">
        <is>
          <t>ÄLMHULT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12937-2025</t>
        </is>
      </c>
      <c r="B1136" s="1" t="n">
        <v>45734</v>
      </c>
      <c r="C1136" s="1" t="n">
        <v>45744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13072-2025</t>
        </is>
      </c>
      <c r="B1137" s="1" t="n">
        <v>45734</v>
      </c>
      <c r="C1137" s="1" t="n">
        <v>45744</v>
      </c>
      <c r="D1137" t="inlineStr">
        <is>
          <t>KRONOBERGS LÄN</t>
        </is>
      </c>
      <c r="E1137" t="inlineStr">
        <is>
          <t>ÄLMHULT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45744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12947-2025</t>
        </is>
      </c>
      <c r="B1139" s="1" t="n">
        <v>45734</v>
      </c>
      <c r="C1139" s="1" t="n">
        <v>45744</v>
      </c>
      <c r="D1139" t="inlineStr">
        <is>
          <t>KRONOBERGS LÄN</t>
        </is>
      </c>
      <c r="E1139" t="inlineStr">
        <is>
          <t>ÄLMHULT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13067-2025</t>
        </is>
      </c>
      <c r="B1140" s="1" t="n">
        <v>45734</v>
      </c>
      <c r="C1140" s="1" t="n">
        <v>45744</v>
      </c>
      <c r="D1140" t="inlineStr">
        <is>
          <t>KRONOBERGS LÄN</t>
        </is>
      </c>
      <c r="E1140" t="inlineStr">
        <is>
          <t>ÄLMHULT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45744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45744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45744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45744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45744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45744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45744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14091-2025</t>
        </is>
      </c>
      <c r="B1148" s="1" t="n">
        <v>45740</v>
      </c>
      <c r="C1148" s="1" t="n">
        <v>45744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2025-03-28T18:25:07Z</dcterms:created>
  <dcterms:modified xmlns:dcterms="http://purl.org/dc/terms/" xmlns:xsi="http://www.w3.org/2001/XMLSchema-instance" xsi:type="dcterms:W3CDTF">2025-03-28T18:25:08Z</dcterms:modified>
</cp:coreProperties>
</file>