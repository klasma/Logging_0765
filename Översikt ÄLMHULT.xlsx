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1956-2026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46209</v>
      </c>
      <c r="E2" s="1" t="n">
        <v>46315</v>
      </c>
      <c r="F2" t="inlineStr">
        <is>
          <t>KRONOBERGS LÄN</t>
        </is>
      </c>
      <c r="G2" t="inlineStr">
        <is>
          <t>ÄLMHULT</t>
        </is>
      </c>
      <c r="I2" t="n">
        <v>6.6</v>
      </c>
      <c r="J2" t="n">
        <v>3</v>
      </c>
      <c r="K2" t="n">
        <v>4</v>
      </c>
      <c r="L2" t="n">
        <v>2</v>
      </c>
      <c r="M2" t="n">
        <v>1</v>
      </c>
      <c r="N2" t="n">
        <v>1</v>
      </c>
      <c r="O2" t="n">
        <v>0</v>
      </c>
      <c r="P2" t="n">
        <v>0</v>
      </c>
      <c r="Q2" t="n">
        <v>4</v>
      </c>
      <c r="R2" t="n">
        <v>2</v>
      </c>
      <c r="S2" t="n">
        <v>11</v>
      </c>
      <c r="T2" t="n">
        <v>13</v>
      </c>
      <c r="U2" t="n">
        <v>0</v>
      </c>
      <c r="V2" s="2" t="inlineStr">
        <is>
          <t>Ask
Klotgräs
Sadelrödrock
Stor sotdyna
Hasselsopp
Honungsvaxing
Kruskantarell
Toppvaxing
Blåsippa
Hårklomossa
Havsörn</t>
        </is>
      </c>
      <c r="W2">
        <f>HYPERLINK("https://klasma.github.io/Logging_0765/artfynd/S 1956-2026 artfynd.xlsx", "S 1956-2026")</f>
        <v/>
      </c>
      <c r="X2">
        <f>HYPERLINK("https://klasma.github.io/Logging_0765/kartor/S 1956-2026 karta.png", "S 1956-2026")</f>
        <v/>
      </c>
      <c r="Y2">
        <f>HYPERLINK("https://klasma.github.io/Logging_0765/kartor_geotiff/S 1956-2026 georefererad karta.tif", "S 1956-2026")</f>
        <v/>
      </c>
      <c r="AA2">
        <f>HYPERLINK("https://klasma.github.io/Logging_0765/klagomål/S 1956-2026 FSC-klagomål.docx", "S 1956-2026")</f>
        <v/>
      </c>
      <c r="AB2">
        <f>HYPERLINK("https://klasma.github.io/Logging_0765/klagomålsmail/S 1956-2026 FSC-klagomål mail.docx", "S 1956-2026")</f>
        <v/>
      </c>
      <c r="AC2">
        <f>HYPERLINK("https://klasma.github.io/Logging_0765/tillsyn/S 1956-2026 tillsynsbegäran.docx", "S 1956-2026")</f>
        <v/>
      </c>
      <c r="AD2">
        <f>HYPERLINK("https://klasma.github.io/Logging_0765/tillsynsmail/S 1956-2026 tillsynsbegäran mail.docx", "S 1956-2026")</f>
        <v/>
      </c>
      <c r="AE2">
        <f>HYPERLINK("https://klasma.github.io/Logging_0765/fåglar/S 1956-2026 prioriterade fågelarter.docx", "S 1956-2026")</f>
        <v/>
      </c>
    </row>
    <row r="3" ht="15" customHeight="1">
      <c r="A3" t="inlineStr">
        <is>
          <t>S 1474-2025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45786</v>
      </c>
      <c r="E3" s="1" t="n">
        <v>46315</v>
      </c>
      <c r="F3" t="inlineStr">
        <is>
          <t>KRONOBERGS LÄN</t>
        </is>
      </c>
      <c r="G3" t="inlineStr">
        <is>
          <t>ÄLMHULT</t>
        </is>
      </c>
      <c r="I3" t="n">
        <v>4.2</v>
      </c>
      <c r="J3" t="n">
        <v>0</v>
      </c>
      <c r="K3" t="n">
        <v>6</v>
      </c>
      <c r="L3" t="n">
        <v>3</v>
      </c>
      <c r="M3" t="n">
        <v>0</v>
      </c>
      <c r="N3" t="n">
        <v>1</v>
      </c>
      <c r="O3" t="n">
        <v>0</v>
      </c>
      <c r="P3" t="n">
        <v>0</v>
      </c>
      <c r="Q3" t="n">
        <v>4</v>
      </c>
      <c r="R3" t="n">
        <v>1</v>
      </c>
      <c r="S3" t="n">
        <v>10</v>
      </c>
      <c r="T3" t="n">
        <v>93</v>
      </c>
      <c r="U3" t="n">
        <v>2</v>
      </c>
      <c r="V3" s="2" t="inlineStr">
        <is>
          <t>Skogsalm
Bokkantlav
Lunglav
Vårstarr
Barkkornlav
Bokfjädermossa
Guldlockmossa
Gulnål
Havstulpanlav
Platt fjädermossa</t>
        </is>
      </c>
      <c r="W3">
        <f>HYPERLINK("https://klasma.github.io/Logging_0765/artfynd/S 1474-2025 artfynd.xlsx", "S 1474-2025")</f>
        <v/>
      </c>
      <c r="X3">
        <f>HYPERLINK("https://klasma.github.io/Logging_0765/kartor/S 1474-2025 karta.png", "S 1474-2025")</f>
        <v/>
      </c>
      <c r="Y3">
        <f>HYPERLINK("https://klasma.github.io/Logging_0765/kartor_geotiff/S 1474-2025 georefererad karta.tif", "S 1474-2025")</f>
        <v/>
      </c>
      <c r="AA3">
        <f>HYPERLINK("https://klasma.github.io/Logging_0765/klagomål/S 1474-2025 FSC-klagomål.docx", "S 1474-2025")</f>
        <v/>
      </c>
      <c r="AB3">
        <f>HYPERLINK("https://klasma.github.io/Logging_0765/klagomålsmail/S 1474-2025 FSC-klagomål mail.docx", "S 1474-2025")</f>
        <v/>
      </c>
      <c r="AC3">
        <f>HYPERLINK("https://klasma.github.io/Logging_0765/tillsyn/S 1474-2025 tillsynsbegäran.docx", "S 1474-2025")</f>
        <v/>
      </c>
      <c r="AD3">
        <f>HYPERLINK("https://klasma.github.io/Logging_0765/tillsynsmail/S 1474-2025 tillsynsbegäran mail.docx", "S 1474-2025")</f>
        <v/>
      </c>
    </row>
    <row r="4" ht="15" customHeight="1">
      <c r="A4" t="inlineStr">
        <is>
          <t>A 3128-2026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46041</v>
      </c>
      <c r="E4" s="1" t="n">
        <v>46315</v>
      </c>
      <c r="F4" t="inlineStr">
        <is>
          <t>KRONOBERGS LÄN</t>
        </is>
      </c>
      <c r="G4" t="inlineStr">
        <is>
          <t>ÄLMHULT</t>
        </is>
      </c>
      <c r="I4" t="n">
        <v>2</v>
      </c>
      <c r="J4" t="n">
        <v>0</v>
      </c>
      <c r="K4" t="n">
        <v>4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6</v>
      </c>
      <c r="T4" t="n">
        <v>9</v>
      </c>
      <c r="U4" t="n">
        <v>0</v>
      </c>
      <c r="V4" s="2" t="inlineStr">
        <is>
          <t>Motaggsvamp
Vedtrappmossa
Blåsfliksmossa
Rävticka
Skuggmossa
Västlig hakmossa</t>
        </is>
      </c>
      <c r="W4">
        <f>HYPERLINK("https://klasma.github.io/Logging_0765/artfynd/A 3128-2026 artfynd.xlsx", "A 3128-2026")</f>
        <v/>
      </c>
      <c r="X4">
        <f>HYPERLINK("https://klasma.github.io/Logging_0765/kartor/A 3128-2026 karta.png", "A 3128-2026")</f>
        <v/>
      </c>
      <c r="Y4">
        <f>HYPERLINK("https://klasma.github.io/Logging_0765/kartor_geotiff/A 3128-2026 georefererad karta.tif", "A 3128-2026")</f>
        <v/>
      </c>
      <c r="AA4">
        <f>HYPERLINK("https://klasma.github.io/Logging_0765/klagomål/A 3128-2026 FSC-klagomål.docx", "A 3128-2026")</f>
        <v/>
      </c>
      <c r="AB4">
        <f>HYPERLINK("https://klasma.github.io/Logging_0765/klagomålsmail/A 3128-2026 FSC-klagomål mail.docx", "A 3128-2026")</f>
        <v/>
      </c>
      <c r="AC4">
        <f>HYPERLINK("https://klasma.github.io/Logging_0765/tillsyn/A 3128-2026 tillsynsbegäran.docx", "A 3128-2026")</f>
        <v/>
      </c>
      <c r="AD4">
        <f>HYPERLINK("https://klasma.github.io/Logging_0765/tillsynsmail/A 3128-2026 tillsynsbegäran mail.docx", "A 3128-2026")</f>
        <v/>
      </c>
    </row>
    <row r="5" ht="15" customHeight="1">
      <c r="A5" t="inlineStr">
        <is>
          <t>A 50468-2025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45945</v>
      </c>
      <c r="E5" s="1" t="n">
        <v>46315</v>
      </c>
      <c r="F5" t="inlineStr">
        <is>
          <t>KRONOBERGS LÄN</t>
        </is>
      </c>
      <c r="G5" t="inlineStr">
        <is>
          <t>ÄLMHULT</t>
        </is>
      </c>
      <c r="I5" t="n">
        <v>3.8</v>
      </c>
      <c r="J5" t="n">
        <v>1</v>
      </c>
      <c r="K5" t="n">
        <v>0</v>
      </c>
      <c r="L5" t="n">
        <v>1</v>
      </c>
      <c r="M5" t="n">
        <v>3</v>
      </c>
      <c r="N5" t="n">
        <v>0</v>
      </c>
      <c r="O5" t="n">
        <v>0</v>
      </c>
      <c r="P5" t="n">
        <v>0</v>
      </c>
      <c r="Q5" t="n">
        <v>4</v>
      </c>
      <c r="R5" t="n">
        <v>3</v>
      </c>
      <c r="S5" t="n">
        <v>5</v>
      </c>
      <c r="T5" t="n">
        <v>7</v>
      </c>
      <c r="U5" t="n">
        <v>0</v>
      </c>
      <c r="V5" s="2" t="inlineStr">
        <is>
          <t>Brunfläckig pärlemorfjäril
Mindre bastardsvärmare
Slåttergubbe
Svinrot
Hasselmus</t>
        </is>
      </c>
      <c r="W5">
        <f>HYPERLINK("https://klasma.github.io/Logging_0765/artfynd/A 50468-2025 artfynd.xlsx", "A 50468-2025")</f>
        <v/>
      </c>
      <c r="X5">
        <f>HYPERLINK("https://klasma.github.io/Logging_0765/kartor/A 50468-2025 karta.png", "A 50468-2025")</f>
        <v/>
      </c>
      <c r="Y5">
        <f>HYPERLINK("https://klasma.github.io/Logging_0765/kartor_geotiff/A 50468-2025 georefererad karta.tif", "A 50468-2025")</f>
        <v/>
      </c>
      <c r="AA5">
        <f>HYPERLINK("https://klasma.github.io/Logging_0765/klagomål/A 50468-2025 FSC-klagomål.docx", "A 50468-2025")</f>
        <v/>
      </c>
      <c r="AB5">
        <f>HYPERLINK("https://klasma.github.io/Logging_0765/klagomålsmail/A 50468-2025 FSC-klagomål mail.docx", "A 50468-2025")</f>
        <v/>
      </c>
      <c r="AC5">
        <f>HYPERLINK("https://klasma.github.io/Logging_0765/tillsyn/A 50468-2025 tillsynsbegäran.docx", "A 50468-2025")</f>
        <v/>
      </c>
      <c r="AD5">
        <f>HYPERLINK("https://klasma.github.io/Logging_0765/tillsynsmail/A 50468-2025 tillsynsbegäran mail.docx", "A 50468-2025")</f>
        <v/>
      </c>
    </row>
    <row r="6" ht="15" customHeight="1">
      <c r="A6" t="inlineStr">
        <is>
          <t>A 54629-2022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44883</v>
      </c>
      <c r="E6" s="1" t="n">
        <v>46315</v>
      </c>
      <c r="F6" t="inlineStr">
        <is>
          <t>KRONOBERGS LÄN</t>
        </is>
      </c>
      <c r="G6" t="inlineStr">
        <is>
          <t>ÄLMHULT</t>
        </is>
      </c>
      <c r="I6" t="n">
        <v>1</v>
      </c>
      <c r="J6" t="n">
        <v>0</v>
      </c>
      <c r="K6" t="n">
        <v>0</v>
      </c>
      <c r="L6" t="n">
        <v>2</v>
      </c>
      <c r="M6" t="n">
        <v>2</v>
      </c>
      <c r="N6" t="n">
        <v>0</v>
      </c>
      <c r="O6" t="n">
        <v>0</v>
      </c>
      <c r="P6" t="n">
        <v>0</v>
      </c>
      <c r="Q6" t="n">
        <v>4</v>
      </c>
      <c r="R6" t="n">
        <v>2</v>
      </c>
      <c r="S6" t="n">
        <v>4</v>
      </c>
      <c r="T6" t="n">
        <v>4</v>
      </c>
      <c r="U6" t="n">
        <v>4</v>
      </c>
      <c r="V6" s="2" t="inlineStr">
        <is>
          <t>Mindre bastardsvärmare
Sexfläckig bastardsvärmare
Silversmygare
Videvårmal</t>
        </is>
      </c>
      <c r="W6">
        <f>HYPERLINK("https://klasma.github.io/Logging_0765/artfynd/A 54629-2022 artfynd.xlsx", "A 54629-2022")</f>
        <v/>
      </c>
      <c r="X6">
        <f>HYPERLINK("https://klasma.github.io/Logging_0765/kartor/A 54629-2022 karta.png", "A 54629-2022")</f>
        <v/>
      </c>
      <c r="Y6">
        <f>HYPERLINK("https://klasma.github.io/Logging_0765/kartor_geotiff/A 54629-2022 georefererad karta.tif", "A 54629-2022")</f>
        <v/>
      </c>
      <c r="AA6">
        <f>HYPERLINK("https://klasma.github.io/Logging_0765/klagomål/A 54629-2022 FSC-klagomål.docx", "A 54629-2022")</f>
        <v/>
      </c>
      <c r="AB6">
        <f>HYPERLINK("https://klasma.github.io/Logging_0765/klagomålsmail/A 54629-2022 FSC-klagomål mail.docx", "A 54629-2022")</f>
        <v/>
      </c>
      <c r="AC6">
        <f>HYPERLINK("https://klasma.github.io/Logging_0765/tillsyn/A 54629-2022 tillsynsbegäran.docx", "A 54629-2022")</f>
        <v/>
      </c>
      <c r="AD6">
        <f>HYPERLINK("https://klasma.github.io/Logging_0765/tillsynsmail/A 54629-2022 tillsynsbegäran mail.docx", "A 54629-2022")</f>
        <v/>
      </c>
    </row>
    <row r="7" ht="15" customHeight="1">
      <c r="A7" t="inlineStr">
        <is>
          <t>A 51450-2023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45215</v>
      </c>
      <c r="E7" s="1" t="n">
        <v>46315</v>
      </c>
      <c r="F7" t="inlineStr">
        <is>
          <t>KRONOBERGS LÄN</t>
        </is>
      </c>
      <c r="G7" t="inlineStr">
        <is>
          <t>ÄLMHULT</t>
        </is>
      </c>
      <c r="I7" t="n">
        <v>60.9</v>
      </c>
      <c r="J7" t="n">
        <v>0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3</v>
      </c>
      <c r="U7" t="n">
        <v>0</v>
      </c>
      <c r="V7" s="2" t="inlineStr">
        <is>
          <t>Tallticka
Blåmossa
Stor revmossa</t>
        </is>
      </c>
      <c r="W7">
        <f>HYPERLINK("https://klasma.github.io/Logging_0765/artfynd/A 51450-2023 artfynd.xlsx", "A 51450-2023")</f>
        <v/>
      </c>
      <c r="X7">
        <f>HYPERLINK("https://klasma.github.io/Logging_0765/kartor/A 51450-2023 karta.png", "A 51450-2023")</f>
        <v/>
      </c>
      <c r="Y7">
        <f>HYPERLINK("https://klasma.github.io/Logging_0765/kartor_geotiff/A 51450-2023 georefererad karta.tif", "A 51450-2023")</f>
        <v/>
      </c>
      <c r="AA7">
        <f>HYPERLINK("https://klasma.github.io/Logging_0765/klagomål/A 51450-2023 FSC-klagomål.docx", "A 51450-2023")</f>
        <v/>
      </c>
      <c r="AB7">
        <f>HYPERLINK("https://klasma.github.io/Logging_0765/klagomålsmail/A 51450-2023 FSC-klagomål mail.docx", "A 51450-2023")</f>
        <v/>
      </c>
      <c r="AC7">
        <f>HYPERLINK("https://klasma.github.io/Logging_0765/tillsyn/A 51450-2023 tillsynsbegäran.docx", "A 51450-2023")</f>
        <v/>
      </c>
      <c r="AD7">
        <f>HYPERLINK("https://klasma.github.io/Logging_0765/tillsynsmail/A 51450-2023 tillsynsbegäran mail.docx", "A 51450-2023")</f>
        <v/>
      </c>
    </row>
    <row r="8" ht="15" customHeight="1">
      <c r="A8" t="inlineStr">
        <is>
          <t>S 5131-2024</t>
        </is>
      </c>
      <c r="B8" t="inlineStr">
        <is>
          <t>samrådsanmälan</t>
        </is>
      </c>
      <c r="C8" t="inlineStr">
        <is>
          <t>Askåterföring</t>
        </is>
      </c>
      <c r="D8" s="1" t="n">
        <v>45645</v>
      </c>
      <c r="E8" s="1" t="n">
        <v>46315</v>
      </c>
      <c r="F8" t="inlineStr">
        <is>
          <t>KRONOBERGS LÄN</t>
        </is>
      </c>
      <c r="G8" t="inlineStr">
        <is>
          <t>ÄLMHULT</t>
        </is>
      </c>
      <c r="I8" t="n">
        <v>24.5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3</v>
      </c>
      <c r="T8" t="n">
        <v>3</v>
      </c>
      <c r="U8" t="n">
        <v>1</v>
      </c>
      <c r="V8" s="2" t="inlineStr">
        <is>
          <t>Mindre tåtelsmygare
Vitfläckig guldvinge
Kambräken</t>
        </is>
      </c>
      <c r="W8">
        <f>HYPERLINK("https://klasma.github.io/Logging_0765/artfynd/S 5131-2024 artfynd.xlsx", "S 5131-2024")</f>
        <v/>
      </c>
      <c r="X8">
        <f>HYPERLINK("https://klasma.github.io/Logging_0765/kartor/S 5131-2024 karta.png", "S 5131-2024")</f>
        <v/>
      </c>
      <c r="Y8">
        <f>HYPERLINK("https://klasma.github.io/Logging_0765/kartor_geotiff/S 5131-2024 georefererad karta.tif", "S 5131-2024")</f>
        <v/>
      </c>
      <c r="AA8">
        <f>HYPERLINK("https://klasma.github.io/Logging_0765/klagomål/S 5131-2024 FSC-klagomål.docx", "S 5131-2024")</f>
        <v/>
      </c>
      <c r="AB8">
        <f>HYPERLINK("https://klasma.github.io/Logging_0765/klagomålsmail/S 5131-2024 FSC-klagomål mail.docx", "S 5131-2024")</f>
        <v/>
      </c>
      <c r="AC8">
        <f>HYPERLINK("https://klasma.github.io/Logging_0765/tillsyn/S 5131-2024 tillsynsbegäran.docx", "S 5131-2024")</f>
        <v/>
      </c>
      <c r="AD8">
        <f>HYPERLINK("https://klasma.github.io/Logging_0765/tillsynsmail/S 5131-2024 tillsynsbegäran mail.docx", "S 5131-2024")</f>
        <v/>
      </c>
    </row>
    <row r="9" ht="15" customHeight="1">
      <c r="A9" t="inlineStr">
        <is>
          <t>S 145-2026</t>
        </is>
      </c>
      <c r="B9" t="inlineStr">
        <is>
          <t>samrådsanmälan</t>
        </is>
      </c>
      <c r="C9" t="inlineStr">
        <is>
          <t>Annan skogsbruksåtgärd</t>
        </is>
      </c>
      <c r="D9" s="1" t="n">
        <v>46043</v>
      </c>
      <c r="E9" s="1" t="n">
        <v>46315</v>
      </c>
      <c r="F9" t="inlineStr">
        <is>
          <t>KRONOBERGS LÄN</t>
        </is>
      </c>
      <c r="G9" t="inlineStr">
        <is>
          <t>ÄLMHULT</t>
        </is>
      </c>
      <c r="I9" t="n">
        <v>0.1</v>
      </c>
      <c r="J9" t="n">
        <v>0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3</v>
      </c>
      <c r="T9" t="n">
        <v>3</v>
      </c>
      <c r="U9" t="n">
        <v>2</v>
      </c>
      <c r="V9" s="2" t="inlineStr">
        <is>
          <t>Sjötåtel
Borstskölding
Safsa</t>
        </is>
      </c>
      <c r="W9">
        <f>HYPERLINK("https://klasma.github.io/Logging_0765/artfynd/S 145-2026 artfynd.xlsx", "S 145-2026")</f>
        <v/>
      </c>
      <c r="X9">
        <f>HYPERLINK("https://klasma.github.io/Logging_0765/kartor/S 145-2026 karta.png", "S 145-2026")</f>
        <v/>
      </c>
      <c r="Y9">
        <f>HYPERLINK("https://klasma.github.io/Logging_0765/kartor_geotiff/S 145-2026 georefererad karta.tif", "S 145-2026")</f>
        <v/>
      </c>
      <c r="AA9">
        <f>HYPERLINK("https://klasma.github.io/Logging_0765/klagomål/S 145-2026 FSC-klagomål.docx", "S 145-2026")</f>
        <v/>
      </c>
      <c r="AB9">
        <f>HYPERLINK("https://klasma.github.io/Logging_0765/klagomålsmail/S 145-2026 FSC-klagomål mail.docx", "S 145-2026")</f>
        <v/>
      </c>
      <c r="AC9">
        <f>HYPERLINK("https://klasma.github.io/Logging_0765/tillsyn/S 145-2026 tillsynsbegäran.docx", "S 145-2026")</f>
        <v/>
      </c>
      <c r="AD9">
        <f>HYPERLINK("https://klasma.github.io/Logging_0765/tillsynsmail/S 145-2026 tillsynsbegäran mail.docx", "S 145-2026")</f>
        <v/>
      </c>
    </row>
    <row r="10" ht="15" customHeight="1">
      <c r="A10" t="inlineStr">
        <is>
          <t>S 2033-2026</t>
        </is>
      </c>
      <c r="B10" t="inlineStr">
        <is>
          <t>samrådsanmälan</t>
        </is>
      </c>
      <c r="C10" t="inlineStr">
        <is>
          <t>Askåterföring</t>
        </is>
      </c>
      <c r="D10" s="1" t="n">
        <v>46211</v>
      </c>
      <c r="E10" s="1" t="n">
        <v>46315</v>
      </c>
      <c r="F10" t="inlineStr">
        <is>
          <t>KRONOBERGS LÄN</t>
        </is>
      </c>
      <c r="G10" t="inlineStr">
        <is>
          <t>ÄLMHULT</t>
        </is>
      </c>
      <c r="I10" t="n">
        <v>119.5</v>
      </c>
      <c r="J10" t="n">
        <v>2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3</v>
      </c>
      <c r="T10" t="n">
        <v>4</v>
      </c>
      <c r="U10" t="n">
        <v>0</v>
      </c>
      <c r="V10" s="2" t="inlineStr">
        <is>
          <t>Ask
Spillkråka
Utter</t>
        </is>
      </c>
      <c r="W10">
        <f>HYPERLINK("https://klasma.github.io/Logging_0765/artfynd/S 2033-2026 artfynd.xlsx", "S 2033-2026")</f>
        <v/>
      </c>
      <c r="X10">
        <f>HYPERLINK("https://klasma.github.io/Logging_0765/kartor/S 2033-2026 karta.png", "S 2033-2026")</f>
        <v/>
      </c>
      <c r="Y10">
        <f>HYPERLINK("https://klasma.github.io/Logging_0765/kartor_geotiff/S 2033-2026 georefererad karta.tif", "S 2033-2026")</f>
        <v/>
      </c>
      <c r="AA10">
        <f>HYPERLINK("https://klasma.github.io/Logging_0765/klagomål/S 2033-2026 FSC-klagomål.docx", "S 2033-2026")</f>
        <v/>
      </c>
      <c r="AB10">
        <f>HYPERLINK("https://klasma.github.io/Logging_0765/klagomålsmail/S 2033-2026 FSC-klagomål mail.docx", "S 2033-2026")</f>
        <v/>
      </c>
      <c r="AC10">
        <f>HYPERLINK("https://klasma.github.io/Logging_0765/tillsyn/S 2033-2026 tillsynsbegäran.docx", "S 2033-2026")</f>
        <v/>
      </c>
      <c r="AD10">
        <f>HYPERLINK("https://klasma.github.io/Logging_0765/tillsynsmail/S 2033-2026 tillsynsbegäran mail.docx", "S 2033-2026")</f>
        <v/>
      </c>
      <c r="AE10">
        <f>HYPERLINK("https://klasma.github.io/Logging_0765/fåglar/S 2033-2026 prioriterade fågelarter.docx", "S 2033-2026")</f>
        <v/>
      </c>
    </row>
    <row r="11" ht="15" customHeight="1">
      <c r="A11" t="inlineStr">
        <is>
          <t>A 54633-2022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44883</v>
      </c>
      <c r="E11" s="1" t="n">
        <v>46315</v>
      </c>
      <c r="F11" t="inlineStr">
        <is>
          <t>KRONOBERGS LÄN</t>
        </is>
      </c>
      <c r="G11" t="inlineStr">
        <is>
          <t>ÄLMHULT</t>
        </is>
      </c>
      <c r="I11" t="n">
        <v>0.6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2</v>
      </c>
      <c r="U11" t="n">
        <v>1</v>
      </c>
      <c r="V11" s="2" t="inlineStr">
        <is>
          <t>Sexfläckig bastardsvärmare
Silverblåvinge</t>
        </is>
      </c>
      <c r="W11">
        <f>HYPERLINK("https://klasma.github.io/Logging_0765/artfynd/A 54633-2022 artfynd.xlsx", "A 54633-2022")</f>
        <v/>
      </c>
      <c r="X11">
        <f>HYPERLINK("https://klasma.github.io/Logging_0765/kartor/A 54633-2022 karta.png", "A 54633-2022")</f>
        <v/>
      </c>
      <c r="Y11">
        <f>HYPERLINK("https://klasma.github.io/Logging_0765/kartor_geotiff/A 54633-2022 georefererad karta.tif", "A 54633-2022")</f>
        <v/>
      </c>
      <c r="AA11">
        <f>HYPERLINK("https://klasma.github.io/Logging_0765/klagomål/A 54633-2022 FSC-klagomål.docx", "A 54633-2022")</f>
        <v/>
      </c>
      <c r="AB11">
        <f>HYPERLINK("https://klasma.github.io/Logging_0765/klagomålsmail/A 54633-2022 FSC-klagomål mail.docx", "A 54633-2022")</f>
        <v/>
      </c>
      <c r="AC11">
        <f>HYPERLINK("https://klasma.github.io/Logging_0765/tillsyn/A 54633-2022 tillsynsbegäran.docx", "A 54633-2022")</f>
        <v/>
      </c>
      <c r="AD11">
        <f>HYPERLINK("https://klasma.github.io/Logging_0765/tillsynsmail/A 54633-2022 tillsynsbegäran mail.docx", "A 54633-2022")</f>
        <v/>
      </c>
    </row>
    <row r="12" ht="15" customHeight="1">
      <c r="A12" t="inlineStr">
        <is>
          <t>A 43196-2023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45183</v>
      </c>
      <c r="E12" s="1" t="n">
        <v>46315</v>
      </c>
      <c r="F12" t="inlineStr">
        <is>
          <t>KRONOBERGS LÄN</t>
        </is>
      </c>
      <c r="G12" t="inlineStr">
        <is>
          <t>ÄLMHULT</t>
        </is>
      </c>
      <c r="I12" t="n">
        <v>2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4</v>
      </c>
      <c r="U12" t="n">
        <v>0</v>
      </c>
      <c r="V12" s="2" t="inlineStr">
        <is>
          <t>Vedtrappmossa
Blåsfliksmossa</t>
        </is>
      </c>
      <c r="W12">
        <f>HYPERLINK("https://klasma.github.io/Logging_0765/artfynd/A 43196-2023 artfynd.xlsx", "A 43196-2023")</f>
        <v/>
      </c>
      <c r="X12">
        <f>HYPERLINK("https://klasma.github.io/Logging_0765/kartor/A 43196-2023 karta.png", "A 43196-2023")</f>
        <v/>
      </c>
      <c r="Y12">
        <f>HYPERLINK("https://klasma.github.io/Logging_0765/kartor_geotiff/A 43196-2023 georefererad karta.tif", "A 43196-2023")</f>
        <v/>
      </c>
      <c r="AA12">
        <f>HYPERLINK("https://klasma.github.io/Logging_0765/klagomål/A 43196-2023 FSC-klagomål.docx", "A 43196-2023")</f>
        <v/>
      </c>
      <c r="AB12">
        <f>HYPERLINK("https://klasma.github.io/Logging_0765/klagomålsmail/A 43196-2023 FSC-klagomål mail.docx", "A 43196-2023")</f>
        <v/>
      </c>
      <c r="AC12">
        <f>HYPERLINK("https://klasma.github.io/Logging_0765/tillsyn/A 43196-2023 tillsynsbegäran.docx", "A 43196-2023")</f>
        <v/>
      </c>
      <c r="AD12">
        <f>HYPERLINK("https://klasma.github.io/Logging_0765/tillsynsmail/A 43196-2023 tillsynsbegäran mail.docx", "A 43196-2023")</f>
        <v/>
      </c>
    </row>
    <row r="13" ht="15" customHeight="1">
      <c r="A13" t="inlineStr">
        <is>
          <t>A 55971-2022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44889</v>
      </c>
      <c r="E13" s="1" t="n">
        <v>46315</v>
      </c>
      <c r="F13" t="inlineStr">
        <is>
          <t>KRONOBERGS LÄN</t>
        </is>
      </c>
      <c r="G13" t="inlineStr">
        <is>
          <t>ÄLMHULT</t>
        </is>
      </c>
      <c r="I13" t="n">
        <v>0.5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2</v>
      </c>
      <c r="U13" t="n">
        <v>2</v>
      </c>
      <c r="V13" s="2" t="inlineStr">
        <is>
          <t>Gulsparv
Trädlärka</t>
        </is>
      </c>
      <c r="W13">
        <f>HYPERLINK("https://klasma.github.io/Logging_0765/artfynd/A 55971-2022 artfynd.xlsx", "A 55971-2022")</f>
        <v/>
      </c>
      <c r="X13">
        <f>HYPERLINK("https://klasma.github.io/Logging_0765/kartor/A 55971-2022 karta.png", "A 55971-2022")</f>
        <v/>
      </c>
      <c r="Y13">
        <f>HYPERLINK("https://klasma.github.io/Logging_0765/kartor_geotiff/A 55971-2022 georefererad karta.tif", "A 55971-2022")</f>
        <v/>
      </c>
      <c r="AA13">
        <f>HYPERLINK("https://klasma.github.io/Logging_0765/klagomål/A 55971-2022 FSC-klagomål.docx", "A 55971-2022")</f>
        <v/>
      </c>
      <c r="AB13">
        <f>HYPERLINK("https://klasma.github.io/Logging_0765/klagomålsmail/A 55971-2022 FSC-klagomål mail.docx", "A 55971-2022")</f>
        <v/>
      </c>
      <c r="AC13">
        <f>HYPERLINK("https://klasma.github.io/Logging_0765/tillsyn/A 55971-2022 tillsynsbegäran.docx", "A 55971-2022")</f>
        <v/>
      </c>
      <c r="AD13">
        <f>HYPERLINK("https://klasma.github.io/Logging_0765/tillsynsmail/A 55971-2022 tillsynsbegäran mail.docx", "A 55971-2022")</f>
        <v/>
      </c>
      <c r="AE13">
        <f>HYPERLINK("https://klasma.github.io/Logging_0765/fåglar/A 55971-2022 prioriterade fågelarter.docx", "A 55971-2022")</f>
        <v/>
      </c>
    </row>
    <row r="14" ht="15" customHeight="1">
      <c r="A14" t="inlineStr">
        <is>
          <t>A 41957-2022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44830</v>
      </c>
      <c r="E14" s="1" t="n">
        <v>46315</v>
      </c>
      <c r="F14" t="inlineStr">
        <is>
          <t>KRONOBERGS LÄN</t>
        </is>
      </c>
      <c r="G14" t="inlineStr">
        <is>
          <t>ÄLMHULT</t>
        </is>
      </c>
      <c r="I14" t="n">
        <v>3.2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1</v>
      </c>
      <c r="V14" s="2" t="inlineStr">
        <is>
          <t>Linmåra/småsnärjmåra
Fläcknycklar</t>
        </is>
      </c>
      <c r="W14">
        <f>HYPERLINK("https://klasma.github.io/Logging_0765/artfynd/A 41957-2022 artfynd.xlsx", "A 41957-2022")</f>
        <v/>
      </c>
      <c r="X14">
        <f>HYPERLINK("https://klasma.github.io/Logging_0765/kartor/A 41957-2022 karta.png", "A 41957-2022")</f>
        <v/>
      </c>
      <c r="Y14">
        <f>HYPERLINK("https://klasma.github.io/Logging_0765/kartor_geotiff/A 41957-2022 georefererad karta.tif", "A 41957-2022")</f>
        <v/>
      </c>
      <c r="AA14">
        <f>HYPERLINK("https://klasma.github.io/Logging_0765/klagomål/A 41957-2022 FSC-klagomål.docx", "A 41957-2022")</f>
        <v/>
      </c>
      <c r="AB14">
        <f>HYPERLINK("https://klasma.github.io/Logging_0765/klagomålsmail/A 41957-2022 FSC-klagomål mail.docx", "A 41957-2022")</f>
        <v/>
      </c>
      <c r="AC14">
        <f>HYPERLINK("https://klasma.github.io/Logging_0765/tillsyn/A 41957-2022 tillsynsbegäran.docx", "A 41957-2022")</f>
        <v/>
      </c>
      <c r="AD14">
        <f>HYPERLINK("https://klasma.github.io/Logging_0765/tillsynsmail/A 41957-2022 tillsynsbegäran mail.docx", "A 41957-2022")</f>
        <v/>
      </c>
    </row>
    <row r="15" ht="15" customHeight="1">
      <c r="A15" t="inlineStr">
        <is>
          <t>A 14429-2023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45012</v>
      </c>
      <c r="E15" s="1" t="n">
        <v>46315</v>
      </c>
      <c r="F15" t="inlineStr">
        <is>
          <t>KRONOBERGS LÄN</t>
        </is>
      </c>
      <c r="G15" t="inlineStr">
        <is>
          <t>ÄLMHULT</t>
        </is>
      </c>
      <c r="I15" t="n">
        <v>1.5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1</v>
      </c>
      <c r="V15" s="2" t="inlineStr">
        <is>
          <t>Gulnål
Ärtsångare</t>
        </is>
      </c>
      <c r="W15">
        <f>HYPERLINK("https://klasma.github.io/Logging_0765/artfynd/A 14429-2023 artfynd.xlsx", "A 14429-2023")</f>
        <v/>
      </c>
      <c r="X15">
        <f>HYPERLINK("https://klasma.github.io/Logging_0765/kartor/A 14429-2023 karta.png", "A 14429-2023")</f>
        <v/>
      </c>
      <c r="Y15">
        <f>HYPERLINK("https://klasma.github.io/Logging_0765/kartor_geotiff/A 14429-2023 georefererad karta.tif", "A 14429-2023")</f>
        <v/>
      </c>
      <c r="AA15">
        <f>HYPERLINK("https://klasma.github.io/Logging_0765/klagomål/A 14429-2023 FSC-klagomål.docx", "A 14429-2023")</f>
        <v/>
      </c>
      <c r="AB15">
        <f>HYPERLINK("https://klasma.github.io/Logging_0765/klagomålsmail/A 14429-2023 FSC-klagomål mail.docx", "A 14429-2023")</f>
        <v/>
      </c>
      <c r="AC15">
        <f>HYPERLINK("https://klasma.github.io/Logging_0765/tillsyn/A 14429-2023 tillsynsbegäran.docx", "A 14429-2023")</f>
        <v/>
      </c>
      <c r="AD15">
        <f>HYPERLINK("https://klasma.github.io/Logging_0765/tillsynsmail/A 14429-2023 tillsynsbegäran mail.docx", "A 14429-2023")</f>
        <v/>
      </c>
    </row>
    <row r="16" ht="15" customHeight="1">
      <c r="A16" t="inlineStr">
        <is>
          <t>A 25207-2026</t>
        </is>
      </c>
      <c r="B16" t="inlineStr">
        <is>
          <t>avverkningsanmälan</t>
        </is>
      </c>
      <c r="C16" t="inlineStr">
        <is>
          <t>Avverkning för att bevara och utveckla /försöksver</t>
        </is>
      </c>
      <c r="D16" s="1" t="n">
        <v>46171</v>
      </c>
      <c r="E16" s="1" t="n">
        <v>46315</v>
      </c>
      <c r="F16" t="inlineStr">
        <is>
          <t>KRONOBERGS LÄN</t>
        </is>
      </c>
      <c r="G16" t="inlineStr">
        <is>
          <t>ÄLMHULT</t>
        </is>
      </c>
      <c r="I16" t="n">
        <v>15.7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Havstulpanlav
Klippfrullania</t>
        </is>
      </c>
      <c r="W16">
        <f>HYPERLINK("https://klasma.github.io/Logging_0765/artfynd/A 25207-2026 artfynd.xlsx", "A 25207-2026")</f>
        <v/>
      </c>
      <c r="X16">
        <f>HYPERLINK("https://klasma.github.io/Logging_0765/kartor/A 25207-2026 karta.png", "A 25207-2026")</f>
        <v/>
      </c>
      <c r="Y16">
        <f>HYPERLINK("https://klasma.github.io/Logging_0765/kartor_geotiff/A 25207-2026 georefererad karta.tif", "A 25207-2026")</f>
        <v/>
      </c>
      <c r="AA16">
        <f>HYPERLINK("https://klasma.github.io/Logging_0765/klagomål/A 25207-2026 FSC-klagomål.docx", "A 25207-2026")</f>
        <v/>
      </c>
      <c r="AB16">
        <f>HYPERLINK("https://klasma.github.io/Logging_0765/klagomålsmail/A 25207-2026 FSC-klagomål mail.docx", "A 25207-2026")</f>
        <v/>
      </c>
      <c r="AC16">
        <f>HYPERLINK("https://klasma.github.io/Logging_0765/tillsyn/A 25207-2026 tillsynsbegäran.docx", "A 25207-2026")</f>
        <v/>
      </c>
      <c r="AD16">
        <f>HYPERLINK("https://klasma.github.io/Logging_0765/tillsynsmail/A 25207-2026 tillsynsbegäran mail.docx", "A 25207-2026")</f>
        <v/>
      </c>
    </row>
    <row r="17" ht="15" customHeight="1">
      <c r="A17" t="inlineStr">
        <is>
          <t>A 28325-2025</t>
        </is>
      </c>
      <c r="B17" t="inlineStr">
        <is>
          <t>avverkningsanmälan</t>
        </is>
      </c>
      <c r="C17" t="inlineStr">
        <is>
          <t>Avverkning för att bevara och utveckla /försöksver</t>
        </is>
      </c>
      <c r="D17" s="1" t="n">
        <v>45818</v>
      </c>
      <c r="E17" s="1" t="n">
        <v>46315</v>
      </c>
      <c r="F17" t="inlineStr">
        <is>
          <t>KRONOBERGS LÄN</t>
        </is>
      </c>
      <c r="G17" t="inlineStr">
        <is>
          <t>ÄLMHULT</t>
        </is>
      </c>
      <c r="H17" t="inlineStr">
        <is>
          <t>Sveaskog</t>
        </is>
      </c>
      <c r="I17" t="n">
        <v>2.2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2</v>
      </c>
      <c r="V17" s="2" t="inlineStr">
        <is>
          <t>Mattlummer
Lopplummer (aggregat)</t>
        </is>
      </c>
      <c r="W17">
        <f>HYPERLINK("https://klasma.github.io/Logging_0765/artfynd/A 28325-2025 artfynd.xlsx", "A 28325-2025")</f>
        <v/>
      </c>
      <c r="X17">
        <f>HYPERLINK("https://klasma.github.io/Logging_0765/kartor/A 28325-2025 karta.png", "A 28325-2025")</f>
        <v/>
      </c>
      <c r="Y17">
        <f>HYPERLINK("https://klasma.github.io/Logging_0765/kartor_geotiff/A 28325-2025 georefererad karta.tif", "A 28325-2025")</f>
        <v/>
      </c>
      <c r="AA17">
        <f>HYPERLINK("https://klasma.github.io/Logging_0765/klagomål/A 28325-2025 FSC-klagomål.docx", "A 28325-2025")</f>
        <v/>
      </c>
      <c r="AB17">
        <f>HYPERLINK("https://klasma.github.io/Logging_0765/klagomålsmail/A 28325-2025 FSC-klagomål mail.docx", "A 28325-2025")</f>
        <v/>
      </c>
      <c r="AC17">
        <f>HYPERLINK("https://klasma.github.io/Logging_0765/tillsyn/A 28325-2025 tillsynsbegäran.docx", "A 28325-2025")</f>
        <v/>
      </c>
      <c r="AD17">
        <f>HYPERLINK("https://klasma.github.io/Logging_0765/tillsynsmail/A 28325-2025 tillsynsbegäran mail.docx", "A 28325-2025")</f>
        <v/>
      </c>
    </row>
    <row r="18" ht="15" customHeight="1">
      <c r="A18" t="inlineStr">
        <is>
          <t>S 1494-2023</t>
        </is>
      </c>
      <c r="B18" t="inlineStr">
        <is>
          <t>samrådsanmälan</t>
        </is>
      </c>
      <c r="C18" t="inlineStr">
        <is>
          <t>Annan skogsbruksåtgärd</t>
        </is>
      </c>
      <c r="D18" s="1" t="n">
        <v>45050</v>
      </c>
      <c r="E18" s="1" t="n">
        <v>46315</v>
      </c>
      <c r="F18" t="inlineStr">
        <is>
          <t>KRONOBERGS LÄN</t>
        </is>
      </c>
      <c r="G18" t="inlineStr">
        <is>
          <t>ÄLMHULT</t>
        </is>
      </c>
      <c r="H18" t="inlineStr">
        <is>
          <t>Sveaskog</t>
        </is>
      </c>
      <c r="I18" t="n">
        <v>4.1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4</v>
      </c>
      <c r="U18" t="n">
        <v>0</v>
      </c>
      <c r="V18" s="2" t="inlineStr">
        <is>
          <t>Safsa
Toppvaxing</t>
        </is>
      </c>
      <c r="W18">
        <f>HYPERLINK("https://klasma.github.io/Logging_0765/artfynd/S 1494-2023 artfynd.xlsx", "S 1494-2023")</f>
        <v/>
      </c>
      <c r="X18">
        <f>HYPERLINK("https://klasma.github.io/Logging_0765/kartor/S 1494-2023 karta.png", "S 1494-2023")</f>
        <v/>
      </c>
      <c r="Y18">
        <f>HYPERLINK("https://klasma.github.io/Logging_0765/kartor_geotiff/S 1494-2023 georefererad karta.tif", "S 1494-2023")</f>
        <v/>
      </c>
      <c r="AA18">
        <f>HYPERLINK("https://klasma.github.io/Logging_0765/klagomål/S 1494-2023 FSC-klagomål.docx", "S 1494-2023")</f>
        <v/>
      </c>
      <c r="AB18">
        <f>HYPERLINK("https://klasma.github.io/Logging_0765/klagomålsmail/S 1494-2023 FSC-klagomål mail.docx", "S 1494-2023")</f>
        <v/>
      </c>
      <c r="AC18">
        <f>HYPERLINK("https://klasma.github.io/Logging_0765/tillsyn/S 1494-2023 tillsynsbegäran.docx", "S 1494-2023")</f>
        <v/>
      </c>
      <c r="AD18">
        <f>HYPERLINK("https://klasma.github.io/Logging_0765/tillsynsmail/S 1494-2023 tillsynsbegäran mail.docx", "S 1494-2023")</f>
        <v/>
      </c>
    </row>
    <row r="19" ht="15" customHeight="1">
      <c r="A19" t="inlineStr">
        <is>
          <t>S 2517-2025</t>
        </is>
      </c>
      <c r="B19" t="inlineStr">
        <is>
          <t>samrådsanmälan</t>
        </is>
      </c>
      <c r="C19" t="inlineStr">
        <is>
          <t>Annan skogsbruksåtgärd</t>
        </is>
      </c>
      <c r="D19" s="1" t="n">
        <v>45908</v>
      </c>
      <c r="E19" s="1" t="n">
        <v>46315</v>
      </c>
      <c r="F19" t="inlineStr">
        <is>
          <t>KRONOBERGS LÄN</t>
        </is>
      </c>
      <c r="G19" t="inlineStr">
        <is>
          <t>ÄLMHULT</t>
        </is>
      </c>
      <c r="I19" t="n">
        <v>1.6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2</v>
      </c>
      <c r="T19" t="n">
        <v>4</v>
      </c>
      <c r="U19" t="n">
        <v>2</v>
      </c>
      <c r="V19" s="2" t="inlineStr">
        <is>
          <t>Klockgentiana
Plattlummer</t>
        </is>
      </c>
      <c r="W19">
        <f>HYPERLINK("https://klasma.github.io/Logging_0765/artfynd/S 2517-2025 artfynd.xlsx", "S 2517-2025")</f>
        <v/>
      </c>
      <c r="X19">
        <f>HYPERLINK("https://klasma.github.io/Logging_0765/kartor/S 2517-2025 karta.png", "S 2517-2025")</f>
        <v/>
      </c>
      <c r="Y19">
        <f>HYPERLINK("https://klasma.github.io/Logging_0765/kartor_geotiff/S 2517-2025 georefererad karta.tif", "S 2517-2025")</f>
        <v/>
      </c>
      <c r="AA19">
        <f>HYPERLINK("https://klasma.github.io/Logging_0765/klagomål/S 2517-2025 FSC-klagomål.docx", "S 2517-2025")</f>
        <v/>
      </c>
      <c r="AB19">
        <f>HYPERLINK("https://klasma.github.io/Logging_0765/klagomålsmail/S 2517-2025 FSC-klagomål mail.docx", "S 2517-2025")</f>
        <v/>
      </c>
      <c r="AC19">
        <f>HYPERLINK("https://klasma.github.io/Logging_0765/tillsyn/S 2517-2025 tillsynsbegäran.docx", "S 2517-2025")</f>
        <v/>
      </c>
      <c r="AD19">
        <f>HYPERLINK("https://klasma.github.io/Logging_0765/tillsynsmail/S 2517-2025 tillsynsbegäran mail.docx", "S 2517-2025")</f>
        <v/>
      </c>
    </row>
    <row r="20" ht="15" customHeight="1">
      <c r="A20" t="inlineStr">
        <is>
          <t>A 13196-2024</t>
        </is>
      </c>
      <c r="B20" t="inlineStr">
        <is>
          <t>avverkningsanmälan</t>
        </is>
      </c>
      <c r="C20" t="inlineStr">
        <is>
          <t>Avverkning för annat ändamål</t>
        </is>
      </c>
      <c r="D20" s="1" t="n">
        <v>45386</v>
      </c>
      <c r="E20" s="1" t="n">
        <v>46315</v>
      </c>
      <c r="F20" t="inlineStr">
        <is>
          <t>KRONOBERGS LÄN</t>
        </is>
      </c>
      <c r="G20" t="inlineStr">
        <is>
          <t>ÄLMHULT</t>
        </is>
      </c>
      <c r="I20" t="n">
        <v>1.5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s="2" t="inlineStr">
        <is>
          <t>Tofsvipa</t>
        </is>
      </c>
      <c r="W20">
        <f>HYPERLINK("https://klasma.github.io/Logging_0765/artfynd/A 13196-2024 artfynd.xlsx", "A 13196-2024")</f>
        <v/>
      </c>
      <c r="X20">
        <f>HYPERLINK("https://klasma.github.io/Logging_0765/kartor/A 13196-2024 karta.png", "A 13196-2024")</f>
        <v/>
      </c>
      <c r="Y20">
        <f>HYPERLINK("https://klasma.github.io/Logging_0765/kartor_geotiff/A 13196-2024 georefererad karta.tif", "A 13196-2024")</f>
        <v/>
      </c>
      <c r="AA20">
        <f>HYPERLINK("https://klasma.github.io/Logging_0765/klagomål/A 13196-2024 FSC-klagomål.docx", "A 13196-2024")</f>
        <v/>
      </c>
      <c r="AB20">
        <f>HYPERLINK("https://klasma.github.io/Logging_0765/klagomålsmail/A 13196-2024 FSC-klagomål mail.docx", "A 13196-2024")</f>
        <v/>
      </c>
      <c r="AC20">
        <f>HYPERLINK("https://klasma.github.io/Logging_0765/tillsyn/A 13196-2024 tillsynsbegäran.docx", "A 13196-2024")</f>
        <v/>
      </c>
      <c r="AD20">
        <f>HYPERLINK("https://klasma.github.io/Logging_0765/tillsynsmail/A 13196-2024 tillsynsbegäran mail.docx", "A 13196-2024")</f>
        <v/>
      </c>
    </row>
    <row r="21" ht="15" customHeight="1">
      <c r="A21" t="inlineStr">
        <is>
          <t>A 41717-2024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45560</v>
      </c>
      <c r="E21" s="1" t="n">
        <v>46315</v>
      </c>
      <c r="F21" t="inlineStr">
        <is>
          <t>KRONOBERGS LÄN</t>
        </is>
      </c>
      <c r="G21" t="inlineStr">
        <is>
          <t>ÄLMHULT</t>
        </is>
      </c>
      <c r="I21" t="n">
        <v>1.3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Tjäder</t>
        </is>
      </c>
      <c r="W21">
        <f>HYPERLINK("https://klasma.github.io/Logging_0765/artfynd/A 41717-2024 artfynd.xlsx", "A 41717-2024")</f>
        <v/>
      </c>
      <c r="X21">
        <f>HYPERLINK("https://klasma.github.io/Logging_0765/kartor/A 41717-2024 karta.png", "A 41717-2024")</f>
        <v/>
      </c>
      <c r="Y21">
        <f>HYPERLINK("https://klasma.github.io/Logging_0765/kartor_geotiff/A 41717-2024 georefererad karta.tif", "A 41717-2024")</f>
        <v/>
      </c>
      <c r="AA21">
        <f>HYPERLINK("https://klasma.github.io/Logging_0765/klagomål/A 41717-2024 FSC-klagomål.docx", "A 41717-2024")</f>
        <v/>
      </c>
      <c r="AB21">
        <f>HYPERLINK("https://klasma.github.io/Logging_0765/klagomålsmail/A 41717-2024 FSC-klagomål mail.docx", "A 41717-2024")</f>
        <v/>
      </c>
      <c r="AC21">
        <f>HYPERLINK("https://klasma.github.io/Logging_0765/tillsyn/A 41717-2024 tillsynsbegäran.docx", "A 41717-2024")</f>
        <v/>
      </c>
      <c r="AD21">
        <f>HYPERLINK("https://klasma.github.io/Logging_0765/tillsynsmail/A 41717-2024 tillsynsbegäran mail.docx", "A 41717-2024")</f>
        <v/>
      </c>
      <c r="AE21">
        <f>HYPERLINK("https://klasma.github.io/Logging_0765/fåglar/A 41717-2024 prioriterade fågelarter.docx", "A 41717-2024")</f>
        <v/>
      </c>
    </row>
    <row r="22" ht="15" customHeight="1">
      <c r="A22" t="inlineStr">
        <is>
          <t>A 48196-2025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45932</v>
      </c>
      <c r="E22" s="1" t="n">
        <v>46315</v>
      </c>
      <c r="F22" t="inlineStr">
        <is>
          <t>KRONOBERGS LÄN</t>
        </is>
      </c>
      <c r="G22" t="inlineStr">
        <is>
          <t>ÄLMHULT</t>
        </is>
      </c>
      <c r="I22" t="n">
        <v>20.1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Sparvuggla</t>
        </is>
      </c>
      <c r="W22">
        <f>HYPERLINK("https://klasma.github.io/Logging_0765/artfynd/A 48196-2025 artfynd.xlsx", "A 48196-2025")</f>
        <v/>
      </c>
      <c r="X22">
        <f>HYPERLINK("https://klasma.github.io/Logging_0765/kartor/A 48196-2025 karta.png", "A 48196-2025")</f>
        <v/>
      </c>
      <c r="Y22">
        <f>HYPERLINK("https://klasma.github.io/Logging_0765/kartor_geotiff/A 48196-2025 georefererad karta.tif", "A 48196-2025")</f>
        <v/>
      </c>
      <c r="AA22">
        <f>HYPERLINK("https://klasma.github.io/Logging_0765/klagomål/A 48196-2025 FSC-klagomål.docx", "A 48196-2025")</f>
        <v/>
      </c>
      <c r="AB22">
        <f>HYPERLINK("https://klasma.github.io/Logging_0765/klagomålsmail/A 48196-2025 FSC-klagomål mail.docx", "A 48196-2025")</f>
        <v/>
      </c>
      <c r="AC22">
        <f>HYPERLINK("https://klasma.github.io/Logging_0765/tillsyn/A 48196-2025 tillsynsbegäran.docx", "A 48196-2025")</f>
        <v/>
      </c>
      <c r="AD22">
        <f>HYPERLINK("https://klasma.github.io/Logging_0765/tillsynsmail/A 48196-2025 tillsynsbegäran mail.docx", "A 48196-2025")</f>
        <v/>
      </c>
      <c r="AE22">
        <f>HYPERLINK("https://klasma.github.io/Logging_0765/fåglar/A 48196-2025 prioriterade fågelarter.docx", "A 48196-2025")</f>
        <v/>
      </c>
    </row>
    <row r="23" ht="15" customHeight="1">
      <c r="A23" t="inlineStr">
        <is>
          <t>A 58048-2024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45631</v>
      </c>
      <c r="E23" s="1" t="n">
        <v>46315</v>
      </c>
      <c r="F23" t="inlineStr">
        <is>
          <t>KRONOBERGS LÄN</t>
        </is>
      </c>
      <c r="G23" t="inlineStr">
        <is>
          <t>ÄLMHULT</t>
        </is>
      </c>
      <c r="I23" t="n">
        <v>1.9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Solvända</t>
        </is>
      </c>
      <c r="W23">
        <f>HYPERLINK("https://klasma.github.io/Logging_0765/artfynd/A 58048-2024 artfynd.xlsx", "A 58048-2024")</f>
        <v/>
      </c>
      <c r="X23">
        <f>HYPERLINK("https://klasma.github.io/Logging_0765/kartor/A 58048-2024 karta.png", "A 58048-2024")</f>
        <v/>
      </c>
      <c r="Y23">
        <f>HYPERLINK("https://klasma.github.io/Logging_0765/kartor_geotiff/A 58048-2024 georefererad karta.tif", "A 58048-2024")</f>
        <v/>
      </c>
      <c r="AA23">
        <f>HYPERLINK("https://klasma.github.io/Logging_0765/klagomål/A 58048-2024 FSC-klagomål.docx", "A 58048-2024")</f>
        <v/>
      </c>
      <c r="AB23">
        <f>HYPERLINK("https://klasma.github.io/Logging_0765/klagomålsmail/A 58048-2024 FSC-klagomål mail.docx", "A 58048-2024")</f>
        <v/>
      </c>
      <c r="AC23">
        <f>HYPERLINK("https://klasma.github.io/Logging_0765/tillsyn/A 58048-2024 tillsynsbegäran.docx", "A 58048-2024")</f>
        <v/>
      </c>
      <c r="AD23">
        <f>HYPERLINK("https://klasma.github.io/Logging_0765/tillsynsmail/A 58048-2024 tillsynsbegäran mail.docx", "A 58048-2024")</f>
        <v/>
      </c>
    </row>
    <row r="24" ht="15" customHeight="1">
      <c r="A24" t="inlineStr">
        <is>
          <t>A 50892-2023</t>
        </is>
      </c>
      <c r="B24" t="inlineStr">
        <is>
          <t>avverkningsanmälan</t>
        </is>
      </c>
      <c r="C24" t="inlineStr">
        <is>
          <t>Avverkning för annat ändamål</t>
        </is>
      </c>
      <c r="D24" s="1" t="n">
        <v>45218</v>
      </c>
      <c r="E24" s="1" t="n">
        <v>46315</v>
      </c>
      <c r="F24" t="inlineStr">
        <is>
          <t>KRONOBERGS LÄN</t>
        </is>
      </c>
      <c r="G24" t="inlineStr">
        <is>
          <t>ÄLMHULT</t>
        </is>
      </c>
      <c r="I24" t="n">
        <v>83.40000000000001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Mattlummer</t>
        </is>
      </c>
      <c r="W24">
        <f>HYPERLINK("https://klasma.github.io/Logging_0765/artfynd/A 50892-2023 artfynd.xlsx", "A 50892-2023")</f>
        <v/>
      </c>
      <c r="X24">
        <f>HYPERLINK("https://klasma.github.io/Logging_0765/kartor/A 50892-2023 karta.png", "A 50892-2023")</f>
        <v/>
      </c>
      <c r="Y24">
        <f>HYPERLINK("https://klasma.github.io/Logging_0765/kartor_geotiff/A 50892-2023 georefererad karta.tif", "A 50892-2023")</f>
        <v/>
      </c>
      <c r="AA24">
        <f>HYPERLINK("https://klasma.github.io/Logging_0765/klagomål/A 50892-2023 FSC-klagomål.docx", "A 50892-2023")</f>
        <v/>
      </c>
      <c r="AB24">
        <f>HYPERLINK("https://klasma.github.io/Logging_0765/klagomålsmail/A 50892-2023 FSC-klagomål mail.docx", "A 50892-2023")</f>
        <v/>
      </c>
      <c r="AC24">
        <f>HYPERLINK("https://klasma.github.io/Logging_0765/tillsyn/A 50892-2023 tillsynsbegäran.docx", "A 50892-2023")</f>
        <v/>
      </c>
      <c r="AD24">
        <f>HYPERLINK("https://klasma.github.io/Logging_0765/tillsynsmail/A 50892-2023 tillsynsbegäran mail.docx", "A 50892-2023")</f>
        <v/>
      </c>
    </row>
    <row r="25" ht="15" customHeight="1">
      <c r="A25" t="inlineStr">
        <is>
          <t>A 54470-2022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44882</v>
      </c>
      <c r="E25" s="1" t="n">
        <v>46315</v>
      </c>
      <c r="F25" t="inlineStr">
        <is>
          <t>KRONOBERGS LÄN</t>
        </is>
      </c>
      <c r="G25" t="inlineStr">
        <is>
          <t>ÄLMHULT</t>
        </is>
      </c>
      <c r="I25" t="n">
        <v>2.3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Grönpyrola</t>
        </is>
      </c>
      <c r="W25">
        <f>HYPERLINK("https://klasma.github.io/Logging_0765/artfynd/A 54470-2022 artfynd.xlsx", "A 54470-2022")</f>
        <v/>
      </c>
      <c r="X25">
        <f>HYPERLINK("https://klasma.github.io/Logging_0765/kartor/A 54470-2022 karta.png", "A 54470-2022")</f>
        <v/>
      </c>
      <c r="Y25">
        <f>HYPERLINK("https://klasma.github.io/Logging_0765/kartor_geotiff/A 54470-2022 georefererad karta.tif", "A 54470-2022")</f>
        <v/>
      </c>
      <c r="AA25">
        <f>HYPERLINK("https://klasma.github.io/Logging_0765/klagomål/A 54470-2022 FSC-klagomål.docx", "A 54470-2022")</f>
        <v/>
      </c>
      <c r="AB25">
        <f>HYPERLINK("https://klasma.github.io/Logging_0765/klagomålsmail/A 54470-2022 FSC-klagomål mail.docx", "A 54470-2022")</f>
        <v/>
      </c>
      <c r="AC25">
        <f>HYPERLINK("https://klasma.github.io/Logging_0765/tillsyn/A 54470-2022 tillsynsbegäran.docx", "A 54470-2022")</f>
        <v/>
      </c>
      <c r="AD25">
        <f>HYPERLINK("https://klasma.github.io/Logging_0765/tillsynsmail/A 54470-2022 tillsynsbegäran mail.docx", "A 54470-2022")</f>
        <v/>
      </c>
    </row>
    <row r="26" ht="15" customHeight="1">
      <c r="A26" t="inlineStr">
        <is>
          <t>A 10199-2025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45719</v>
      </c>
      <c r="E26" s="1" t="n">
        <v>46315</v>
      </c>
      <c r="F26" t="inlineStr">
        <is>
          <t>KRONOBERGS LÄN</t>
        </is>
      </c>
      <c r="G26" t="inlineStr">
        <is>
          <t>ÄLMHULT</t>
        </is>
      </c>
      <c r="I26" t="n">
        <v>0.7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Blåsippa</t>
        </is>
      </c>
      <c r="W26">
        <f>HYPERLINK("https://klasma.github.io/Logging_0765/artfynd/A 10199-2025 artfynd.xlsx", "A 10199-2025")</f>
        <v/>
      </c>
      <c r="X26">
        <f>HYPERLINK("https://klasma.github.io/Logging_0765/kartor/A 10199-2025 karta.png", "A 10199-2025")</f>
        <v/>
      </c>
      <c r="Y26">
        <f>HYPERLINK("https://klasma.github.io/Logging_0765/kartor_geotiff/A 10199-2025 georefererad karta.tif", "A 10199-2025")</f>
        <v/>
      </c>
      <c r="AA26">
        <f>HYPERLINK("https://klasma.github.io/Logging_0765/klagomål/A 10199-2025 FSC-klagomål.docx", "A 10199-2025")</f>
        <v/>
      </c>
      <c r="AB26">
        <f>HYPERLINK("https://klasma.github.io/Logging_0765/klagomålsmail/A 10199-2025 FSC-klagomål mail.docx", "A 10199-2025")</f>
        <v/>
      </c>
      <c r="AC26">
        <f>HYPERLINK("https://klasma.github.io/Logging_0765/tillsyn/A 10199-2025 tillsynsbegäran.docx", "A 10199-2025")</f>
        <v/>
      </c>
      <c r="AD26">
        <f>HYPERLINK("https://klasma.github.io/Logging_0765/tillsynsmail/A 10199-2025 tillsynsbegäran mail.docx", "A 10199-2025")</f>
        <v/>
      </c>
    </row>
    <row r="27" ht="15" customHeight="1">
      <c r="A27" t="inlineStr">
        <is>
          <t>A 29778-2026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46204</v>
      </c>
      <c r="E27" s="1" t="n">
        <v>46315</v>
      </c>
      <c r="F27" t="inlineStr">
        <is>
          <t>KRONOBERGS LÄN</t>
        </is>
      </c>
      <c r="G27" t="inlineStr">
        <is>
          <t>ÄLMHULT</t>
        </is>
      </c>
      <c r="I27" t="n">
        <v>0.9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Utter</t>
        </is>
      </c>
      <c r="W27">
        <f>HYPERLINK("https://klasma.github.io/Logging_0765/artfynd/A 29778-2026 artfynd.xlsx", "A 29778-2026")</f>
        <v/>
      </c>
      <c r="X27">
        <f>HYPERLINK("https://klasma.github.io/Logging_0765/kartor/A 29778-2026 karta.png", "A 29778-2026")</f>
        <v/>
      </c>
      <c r="Y27">
        <f>HYPERLINK("https://klasma.github.io/Logging_0765/kartor_geotiff/A 29778-2026 georefererad karta.tif", "A 29778-2026")</f>
        <v/>
      </c>
      <c r="AA27">
        <f>HYPERLINK("https://klasma.github.io/Logging_0765/klagomål/A 29778-2026 FSC-klagomål.docx", "A 29778-2026")</f>
        <v/>
      </c>
      <c r="AB27">
        <f>HYPERLINK("https://klasma.github.io/Logging_0765/klagomålsmail/A 29778-2026 FSC-klagomål mail.docx", "A 29778-2026")</f>
        <v/>
      </c>
      <c r="AC27">
        <f>HYPERLINK("https://klasma.github.io/Logging_0765/tillsyn/A 29778-2026 tillsynsbegäran.docx", "A 29778-2026")</f>
        <v/>
      </c>
      <c r="AD27">
        <f>HYPERLINK("https://klasma.github.io/Logging_0765/tillsynsmail/A 29778-2026 tillsynsbegäran mail.docx", "A 29778-2026")</f>
        <v/>
      </c>
    </row>
    <row r="28" ht="15" customHeight="1">
      <c r="A28" t="inlineStr">
        <is>
          <t>A 19196-2025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45769</v>
      </c>
      <c r="E28" s="1" t="n">
        <v>46315</v>
      </c>
      <c r="F28" t="inlineStr">
        <is>
          <t>KRONOBERGS LÄN</t>
        </is>
      </c>
      <c r="G28" t="inlineStr">
        <is>
          <t>ÄLMHULT</t>
        </is>
      </c>
      <c r="I28" t="n">
        <v>26.2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Blåmossa</t>
        </is>
      </c>
      <c r="W28">
        <f>HYPERLINK("https://klasma.github.io/Logging_0765/artfynd/A 19196-2025 artfynd.xlsx", "A 19196-2025")</f>
        <v/>
      </c>
      <c r="X28">
        <f>HYPERLINK("https://klasma.github.io/Logging_0765/kartor/A 19196-2025 karta.png", "A 19196-2025")</f>
        <v/>
      </c>
      <c r="Y28">
        <f>HYPERLINK("https://klasma.github.io/Logging_0765/kartor_geotiff/A 19196-2025 georefererad karta.tif", "A 19196-2025")</f>
        <v/>
      </c>
      <c r="AA28">
        <f>HYPERLINK("https://klasma.github.io/Logging_0765/klagomål/A 19196-2025 FSC-klagomål.docx", "A 19196-2025")</f>
        <v/>
      </c>
      <c r="AB28">
        <f>HYPERLINK("https://klasma.github.io/Logging_0765/klagomålsmail/A 19196-2025 FSC-klagomål mail.docx", "A 19196-2025")</f>
        <v/>
      </c>
      <c r="AC28">
        <f>HYPERLINK("https://klasma.github.io/Logging_0765/tillsyn/A 19196-2025 tillsynsbegäran.docx", "A 19196-2025")</f>
        <v/>
      </c>
      <c r="AD28">
        <f>HYPERLINK("https://klasma.github.io/Logging_0765/tillsynsmail/A 19196-2025 tillsynsbegäran mail.docx", "A 19196-2025")</f>
        <v/>
      </c>
    </row>
    <row r="29" ht="15" customHeight="1">
      <c r="A29" t="inlineStr">
        <is>
          <t>A 64296-2023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45280</v>
      </c>
      <c r="E29" s="1" t="n">
        <v>46315</v>
      </c>
      <c r="F29" t="inlineStr">
        <is>
          <t>KRONOBERGS LÄN</t>
        </is>
      </c>
      <c r="G29" t="inlineStr">
        <is>
          <t>ÄLMHULT</t>
        </is>
      </c>
      <c r="I29" t="n">
        <v>1.4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Silversmygare</t>
        </is>
      </c>
      <c r="W29">
        <f>HYPERLINK("https://klasma.github.io/Logging_0765/artfynd/A 64296-2023 artfynd.xlsx", "A 64296-2023")</f>
        <v/>
      </c>
      <c r="X29">
        <f>HYPERLINK("https://klasma.github.io/Logging_0765/kartor/A 64296-2023 karta.png", "A 64296-2023")</f>
        <v/>
      </c>
      <c r="Y29">
        <f>HYPERLINK("https://klasma.github.io/Logging_0765/kartor_geotiff/A 64296-2023 georefererad karta.tif", "A 64296-2023")</f>
        <v/>
      </c>
      <c r="AA29">
        <f>HYPERLINK("https://klasma.github.io/Logging_0765/klagomål/A 64296-2023 FSC-klagomål.docx", "A 64296-2023")</f>
        <v/>
      </c>
      <c r="AB29">
        <f>HYPERLINK("https://klasma.github.io/Logging_0765/klagomålsmail/A 64296-2023 FSC-klagomål mail.docx", "A 64296-2023")</f>
        <v/>
      </c>
      <c r="AC29">
        <f>HYPERLINK("https://klasma.github.io/Logging_0765/tillsyn/A 64296-2023 tillsynsbegäran.docx", "A 64296-2023")</f>
        <v/>
      </c>
      <c r="AD29">
        <f>HYPERLINK("https://klasma.github.io/Logging_0765/tillsynsmail/A 64296-2023 tillsynsbegäran mail.docx", "A 64296-2023")</f>
        <v/>
      </c>
    </row>
    <row r="30" ht="15" customHeight="1">
      <c r="A30" t="inlineStr">
        <is>
          <t>A 39106-2025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45888</v>
      </c>
      <c r="E30" s="1" t="n">
        <v>46315</v>
      </c>
      <c r="F30" t="inlineStr">
        <is>
          <t>KRONOBERGS LÄN</t>
        </is>
      </c>
      <c r="G30" t="inlineStr">
        <is>
          <t>ÄLMHULT</t>
        </is>
      </c>
      <c r="I30" t="n">
        <v>2.8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s="2" t="inlineStr">
        <is>
          <t>Strandjordtunga</t>
        </is>
      </c>
      <c r="W30">
        <f>HYPERLINK("https://klasma.github.io/Logging_0765/artfynd/A 39106-2025 artfynd.xlsx", "A 39106-2025")</f>
        <v/>
      </c>
      <c r="X30">
        <f>HYPERLINK("https://klasma.github.io/Logging_0765/kartor/A 39106-2025 karta.png", "A 39106-2025")</f>
        <v/>
      </c>
      <c r="Y30">
        <f>HYPERLINK("https://klasma.github.io/Logging_0765/kartor_geotiff/A 39106-2025 georefererad karta.tif", "A 39106-2025")</f>
        <v/>
      </c>
      <c r="AA30">
        <f>HYPERLINK("https://klasma.github.io/Logging_0765/klagomål/A 39106-2025 FSC-klagomål.docx", "A 39106-2025")</f>
        <v/>
      </c>
      <c r="AB30">
        <f>HYPERLINK("https://klasma.github.io/Logging_0765/klagomålsmail/A 39106-2025 FSC-klagomål mail.docx", "A 39106-2025")</f>
        <v/>
      </c>
      <c r="AC30">
        <f>HYPERLINK("https://klasma.github.io/Logging_0765/tillsyn/A 39106-2025 tillsynsbegäran.docx", "A 39106-2025")</f>
        <v/>
      </c>
      <c r="AD30">
        <f>HYPERLINK("https://klasma.github.io/Logging_0765/tillsynsmail/A 39106-2025 tillsynsbegäran mail.docx", "A 39106-2025")</f>
        <v/>
      </c>
    </row>
    <row r="31" ht="15" customHeight="1">
      <c r="A31" t="inlineStr">
        <is>
          <t>A 39748-2026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46290</v>
      </c>
      <c r="E31" s="1" t="n">
        <v>46315</v>
      </c>
      <c r="F31" t="inlineStr">
        <is>
          <t>KRONOBERGS LÄN</t>
        </is>
      </c>
      <c r="G31" t="inlineStr">
        <is>
          <t>ÄLMHULT</t>
        </is>
      </c>
      <c r="I31" t="n">
        <v>2.5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s="2" t="inlineStr">
        <is>
          <t>Mindre bastardsvärmare</t>
        </is>
      </c>
      <c r="W31">
        <f>HYPERLINK("https://klasma.github.io/Logging_0765/artfynd/A 39748-2026 artfynd.xlsx", "A 39748-2026")</f>
        <v/>
      </c>
      <c r="X31">
        <f>HYPERLINK("https://klasma.github.io/Logging_0765/kartor/A 39748-2026 karta.png", "A 39748-2026")</f>
        <v/>
      </c>
      <c r="Y31">
        <f>HYPERLINK("https://klasma.github.io/Logging_0765/kartor_geotiff/A 39748-2026 georefererad karta.tif", "A 39748-2026")</f>
        <v/>
      </c>
      <c r="AA31">
        <f>HYPERLINK("https://klasma.github.io/Logging_0765/klagomål/A 39748-2026 FSC-klagomål.docx", "A 39748-2026")</f>
        <v/>
      </c>
      <c r="AB31">
        <f>HYPERLINK("https://klasma.github.io/Logging_0765/klagomålsmail/A 39748-2026 FSC-klagomål mail.docx", "A 39748-2026")</f>
        <v/>
      </c>
      <c r="AC31">
        <f>HYPERLINK("https://klasma.github.io/Logging_0765/tillsyn/A 39748-2026 tillsynsbegäran.docx", "A 39748-2026")</f>
        <v/>
      </c>
      <c r="AD31">
        <f>HYPERLINK("https://klasma.github.io/Logging_0765/tillsynsmail/A 39748-2026 tillsynsbegäran mail.docx", "A 39748-2026")</f>
        <v/>
      </c>
    </row>
    <row r="32" ht="15" customHeight="1">
      <c r="A32" t="inlineStr">
        <is>
          <t>A 18747-2025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45763</v>
      </c>
      <c r="E32" s="1" t="n">
        <v>46315</v>
      </c>
      <c r="F32" t="inlineStr">
        <is>
          <t>KRONOBERGS LÄN</t>
        </is>
      </c>
      <c r="G32" t="inlineStr">
        <is>
          <t>ÄLMHULT</t>
        </is>
      </c>
      <c r="I32" t="n">
        <v>1.4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s="2" t="inlineStr">
        <is>
          <t>Borsttåg</t>
        </is>
      </c>
      <c r="W32">
        <f>HYPERLINK("https://klasma.github.io/Logging_0765/artfynd/A 18747-2025 artfynd.xlsx", "A 18747-2025")</f>
        <v/>
      </c>
      <c r="X32">
        <f>HYPERLINK("https://klasma.github.io/Logging_0765/kartor/A 18747-2025 karta.png", "A 18747-2025")</f>
        <v/>
      </c>
      <c r="Y32">
        <f>HYPERLINK("https://klasma.github.io/Logging_0765/kartor_geotiff/A 18747-2025 georefererad karta.tif", "A 18747-2025")</f>
        <v/>
      </c>
      <c r="AA32">
        <f>HYPERLINK("https://klasma.github.io/Logging_0765/klagomål/A 18747-2025 FSC-klagomål.docx", "A 18747-2025")</f>
        <v/>
      </c>
      <c r="AB32">
        <f>HYPERLINK("https://klasma.github.io/Logging_0765/klagomålsmail/A 18747-2025 FSC-klagomål mail.docx", "A 18747-2025")</f>
        <v/>
      </c>
      <c r="AC32">
        <f>HYPERLINK("https://klasma.github.io/Logging_0765/tillsyn/A 18747-2025 tillsynsbegäran.docx", "A 18747-2025")</f>
        <v/>
      </c>
      <c r="AD32">
        <f>HYPERLINK("https://klasma.github.io/Logging_0765/tillsynsmail/A 18747-2025 tillsynsbegäran mail.docx", "A 18747-2025")</f>
        <v/>
      </c>
    </row>
    <row r="33" ht="15" customHeight="1">
      <c r="A33" t="inlineStr">
        <is>
          <t>A 35531-2025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45856</v>
      </c>
      <c r="E33" s="1" t="n">
        <v>46315</v>
      </c>
      <c r="F33" t="inlineStr">
        <is>
          <t>KRONOBERGS LÄN</t>
        </is>
      </c>
      <c r="G33" t="inlineStr">
        <is>
          <t>ÄLMHULT</t>
        </is>
      </c>
      <c r="I33" t="n">
        <v>5.2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Sparvuggla</t>
        </is>
      </c>
      <c r="W33">
        <f>HYPERLINK("https://klasma.github.io/Logging_0765/artfynd/A 35531-2025 artfynd.xlsx", "A 35531-2025")</f>
        <v/>
      </c>
      <c r="X33">
        <f>HYPERLINK("https://klasma.github.io/Logging_0765/kartor/A 35531-2025 karta.png", "A 35531-2025")</f>
        <v/>
      </c>
      <c r="Y33">
        <f>HYPERLINK("https://klasma.github.io/Logging_0765/kartor_geotiff/A 35531-2025 georefererad karta.tif", "A 35531-2025")</f>
        <v/>
      </c>
      <c r="AA33">
        <f>HYPERLINK("https://klasma.github.io/Logging_0765/klagomål/A 35531-2025 FSC-klagomål.docx", "A 35531-2025")</f>
        <v/>
      </c>
      <c r="AB33">
        <f>HYPERLINK("https://klasma.github.io/Logging_0765/klagomålsmail/A 35531-2025 FSC-klagomål mail.docx", "A 35531-2025")</f>
        <v/>
      </c>
      <c r="AC33">
        <f>HYPERLINK("https://klasma.github.io/Logging_0765/tillsyn/A 35531-2025 tillsynsbegäran.docx", "A 35531-2025")</f>
        <v/>
      </c>
      <c r="AD33">
        <f>HYPERLINK("https://klasma.github.io/Logging_0765/tillsynsmail/A 35531-2025 tillsynsbegäran mail.docx", "A 35531-2025")</f>
        <v/>
      </c>
      <c r="AE33">
        <f>HYPERLINK("https://klasma.github.io/Logging_0765/fåglar/A 35531-2025 prioriterade fågelarter.docx", "A 35531-2025")</f>
        <v/>
      </c>
    </row>
    <row r="34" ht="15" customHeight="1">
      <c r="A34" t="inlineStr">
        <is>
          <t>S 6203-2022</t>
        </is>
      </c>
      <c r="B34" t="inlineStr">
        <is>
          <t>samrådsanmälan</t>
        </is>
      </c>
      <c r="C34" t="inlineStr">
        <is>
          <t>Askåterföring</t>
        </is>
      </c>
      <c r="D34" s="1" t="n">
        <v>44869</v>
      </c>
      <c r="E34" s="1" t="n">
        <v>46315</v>
      </c>
      <c r="F34" t="inlineStr">
        <is>
          <t>KRONOBERGS LÄN</t>
        </is>
      </c>
      <c r="G34" t="inlineStr">
        <is>
          <t>ÄLMHULT</t>
        </is>
      </c>
      <c r="I34" t="n">
        <v>63.9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Borsttåg</t>
        </is>
      </c>
      <c r="W34">
        <f>HYPERLINK("https://klasma.github.io/Logging_0765/artfynd/S 6203-2022 artfynd.xlsx", "S 6203-2022")</f>
        <v/>
      </c>
      <c r="X34">
        <f>HYPERLINK("https://klasma.github.io/Logging_0765/kartor/S 6203-2022 karta.png", "S 6203-2022")</f>
        <v/>
      </c>
      <c r="Y34">
        <f>HYPERLINK("https://klasma.github.io/Logging_0765/kartor_geotiff/S 6203-2022 georefererad karta.tif", "S 6203-2022")</f>
        <v/>
      </c>
      <c r="AA34">
        <f>HYPERLINK("https://klasma.github.io/Logging_0765/klagomål/S 6203-2022 FSC-klagomål.docx", "S 6203-2022")</f>
        <v/>
      </c>
      <c r="AB34">
        <f>HYPERLINK("https://klasma.github.io/Logging_0765/klagomålsmail/S 6203-2022 FSC-klagomål mail.docx", "S 6203-2022")</f>
        <v/>
      </c>
      <c r="AC34">
        <f>HYPERLINK("https://klasma.github.io/Logging_0765/tillsyn/S 6203-2022 tillsynsbegäran.docx", "S 6203-2022")</f>
        <v/>
      </c>
      <c r="AD34">
        <f>HYPERLINK("https://klasma.github.io/Logging_0765/tillsynsmail/S 6203-2022 tillsynsbegäran mail.docx", "S 6203-2022")</f>
        <v/>
      </c>
    </row>
    <row r="35" ht="15" customHeight="1">
      <c r="A35" t="inlineStr">
        <is>
          <t>S 1473-2025</t>
        </is>
      </c>
      <c r="B35" t="inlineStr">
        <is>
          <t>samrådsanmälan</t>
        </is>
      </c>
      <c r="C35" t="inlineStr">
        <is>
          <t>Annan skogsbruksåtgärd</t>
        </is>
      </c>
      <c r="D35" s="1" t="n">
        <v>45786</v>
      </c>
      <c r="E35" s="1" t="n">
        <v>46315</v>
      </c>
      <c r="F35" t="inlineStr">
        <is>
          <t>KRONOBERGS LÄN</t>
        </is>
      </c>
      <c r="G35" t="inlineStr">
        <is>
          <t>ÄLMHULT</t>
        </is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s="2" t="inlineStr">
        <is>
          <t>Revlummer</t>
        </is>
      </c>
      <c r="W35">
        <f>HYPERLINK("https://klasma.github.io/Logging_0765/artfynd/S 1473-2025 artfynd.xlsx", "S 1473-2025")</f>
        <v/>
      </c>
      <c r="X35">
        <f>HYPERLINK("https://klasma.github.io/Logging_0765/kartor/S 1473-2025 karta.png", "S 1473-2025")</f>
        <v/>
      </c>
      <c r="Y35">
        <f>HYPERLINK("https://klasma.github.io/Logging_0765/kartor_geotiff/S 1473-2025 georefererad karta.tif", "S 1473-2025")</f>
        <v/>
      </c>
      <c r="AA35">
        <f>HYPERLINK("https://klasma.github.io/Logging_0765/klagomål/S 1473-2025 FSC-klagomål.docx", "S 1473-2025")</f>
        <v/>
      </c>
      <c r="AB35">
        <f>HYPERLINK("https://klasma.github.io/Logging_0765/klagomålsmail/S 1473-2025 FSC-klagomål mail.docx", "S 1473-2025")</f>
        <v/>
      </c>
      <c r="AC35">
        <f>HYPERLINK("https://klasma.github.io/Logging_0765/tillsyn/S 1473-2025 tillsynsbegäran.docx", "S 1473-2025")</f>
        <v/>
      </c>
      <c r="AD35">
        <f>HYPERLINK("https://klasma.github.io/Logging_0765/tillsynsmail/S 1473-2025 tillsynsbegäran mail.docx", "S 1473-2025")</f>
        <v/>
      </c>
    </row>
    <row r="36" ht="15" customHeight="1">
      <c r="A36" t="inlineStr">
        <is>
          <t>A 8060-2022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44609</v>
      </c>
      <c r="E36" s="1" t="n">
        <v>46315</v>
      </c>
      <c r="F36" t="inlineStr">
        <is>
          <t>KRONOBERGS LÄN</t>
        </is>
      </c>
      <c r="G36" t="inlineStr">
        <is>
          <t>ÄLMHULT</t>
        </is>
      </c>
      <c r="I36" t="n">
        <v>0.4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67867-2021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44525</v>
      </c>
      <c r="E37" s="1" t="n">
        <v>46315</v>
      </c>
      <c r="F37" t="inlineStr">
        <is>
          <t>KRONOBERGS LÄN</t>
        </is>
      </c>
      <c r="G37" t="inlineStr">
        <is>
          <t>ÄLMHULT</t>
        </is>
      </c>
      <c r="I37" t="n">
        <v>1.9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33401-2022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44785</v>
      </c>
      <c r="E38" s="1" t="n">
        <v>46315</v>
      </c>
      <c r="F38" t="inlineStr">
        <is>
          <t>KRONOBERGS LÄN</t>
        </is>
      </c>
      <c r="G38" t="inlineStr">
        <is>
          <t>ÄLMHULT</t>
        </is>
      </c>
      <c r="I38" t="n">
        <v>1.1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33406-2022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44785</v>
      </c>
      <c r="E39" s="1" t="n">
        <v>46315</v>
      </c>
      <c r="F39" t="inlineStr">
        <is>
          <t>KRONOBERGS LÄN</t>
        </is>
      </c>
      <c r="G39" t="inlineStr">
        <is>
          <t>ÄLMHULT</t>
        </is>
      </c>
      <c r="I39" t="n">
        <v>2.1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33410-2022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44785</v>
      </c>
      <c r="E40" s="1" t="n">
        <v>46315</v>
      </c>
      <c r="F40" t="inlineStr">
        <is>
          <t>KRONOBERGS LÄN</t>
        </is>
      </c>
      <c r="G40" t="inlineStr">
        <is>
          <t>ÄLMHULT</t>
        </is>
      </c>
      <c r="I40" t="n">
        <v>0.6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65192-2021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44515</v>
      </c>
      <c r="E41" s="1" t="n">
        <v>46315</v>
      </c>
      <c r="F41" t="inlineStr">
        <is>
          <t>KRONOBERGS LÄN</t>
        </is>
      </c>
      <c r="G41" t="inlineStr">
        <is>
          <t>ÄLMHULT</t>
        </is>
      </c>
      <c r="I41" t="n">
        <v>1.5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35965-2022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44802</v>
      </c>
      <c r="E42" s="1" t="n">
        <v>46315</v>
      </c>
      <c r="F42" t="inlineStr">
        <is>
          <t>KRONOBERGS LÄN</t>
        </is>
      </c>
      <c r="G42" t="inlineStr">
        <is>
          <t>ÄLMHULT</t>
        </is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35967-2022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44802</v>
      </c>
      <c r="E43" s="1" t="n">
        <v>46315</v>
      </c>
      <c r="F43" t="inlineStr">
        <is>
          <t>KRONOBERGS LÄN</t>
        </is>
      </c>
      <c r="G43" t="inlineStr">
        <is>
          <t>ÄLMHULT</t>
        </is>
      </c>
      <c r="I43" t="n">
        <v>0.4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33403-2022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44785</v>
      </c>
      <c r="E44" s="1" t="n">
        <v>46315</v>
      </c>
      <c r="F44" t="inlineStr">
        <is>
          <t>KRONOBERGS LÄN</t>
        </is>
      </c>
      <c r="G44" t="inlineStr">
        <is>
          <t>ÄLMHULT</t>
        </is>
      </c>
      <c r="I44" t="n">
        <v>0.7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28931-2022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44749</v>
      </c>
      <c r="E45" s="1" t="n">
        <v>46315</v>
      </c>
      <c r="F45" t="inlineStr">
        <is>
          <t>KRONOBERGS LÄN</t>
        </is>
      </c>
      <c r="G45" t="inlineStr">
        <is>
          <t>ÄLMHULT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35251-2022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44798</v>
      </c>
      <c r="E46" s="1" t="n">
        <v>46315</v>
      </c>
      <c r="F46" t="inlineStr">
        <is>
          <t>KRONOBERGS LÄN</t>
        </is>
      </c>
      <c r="G46" t="inlineStr">
        <is>
          <t>ÄLMHULT</t>
        </is>
      </c>
      <c r="I46" t="n">
        <v>3.3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67344-2021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44523</v>
      </c>
      <c r="E47" s="1" t="n">
        <v>46315</v>
      </c>
      <c r="F47" t="inlineStr">
        <is>
          <t>KRONOBERGS LÄN</t>
        </is>
      </c>
      <c r="G47" t="inlineStr">
        <is>
          <t>ÄLMHULT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62403-2021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44503</v>
      </c>
      <c r="E48" s="1" t="n">
        <v>46315</v>
      </c>
      <c r="F48" t="inlineStr">
        <is>
          <t>KRONOBERGS LÄN</t>
        </is>
      </c>
      <c r="G48" t="inlineStr">
        <is>
          <t>ÄLMHULT</t>
        </is>
      </c>
      <c r="I48" t="n">
        <v>0.4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62244-2021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44503</v>
      </c>
      <c r="E49" s="1" t="n">
        <v>46315</v>
      </c>
      <c r="F49" t="inlineStr">
        <is>
          <t>KRONOBERGS LÄN</t>
        </is>
      </c>
      <c r="G49" t="inlineStr">
        <is>
          <t>ÄLMHULT</t>
        </is>
      </c>
      <c r="I49" t="n">
        <v>0.7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33385-2022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44785</v>
      </c>
      <c r="E50" s="1" t="n">
        <v>46315</v>
      </c>
      <c r="F50" t="inlineStr">
        <is>
          <t>KRONOBERGS LÄN</t>
        </is>
      </c>
      <c r="G50" t="inlineStr">
        <is>
          <t>ÄLMHULT</t>
        </is>
      </c>
      <c r="I50" t="n">
        <v>2.6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16069-2022</t>
        </is>
      </c>
      <c r="B51" t="inlineStr">
        <is>
          <t>avverkningsanmälan</t>
        </is>
      </c>
      <c r="C51" t="inlineStr">
        <is>
          <t>Avverkning för att bevara och utveckla /försöksver</t>
        </is>
      </c>
      <c r="D51" s="1" t="n">
        <v>44665</v>
      </c>
      <c r="E51" s="1" t="n">
        <v>46315</v>
      </c>
      <c r="F51" t="inlineStr">
        <is>
          <t>KRONOBERGS LÄN</t>
        </is>
      </c>
      <c r="G51" t="inlineStr">
        <is>
          <t>ÄLMHULT</t>
        </is>
      </c>
      <c r="H51" t="inlineStr">
        <is>
          <t>Sveaskog</t>
        </is>
      </c>
      <c r="I51" t="n">
        <v>1.5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45962-2022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44846</v>
      </c>
      <c r="E52" s="1" t="n">
        <v>46315</v>
      </c>
      <c r="F52" t="inlineStr">
        <is>
          <t>KRONOBERGS LÄN</t>
        </is>
      </c>
      <c r="G52" t="inlineStr">
        <is>
          <t>ÄLMHULT</t>
        </is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46170-2022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44847</v>
      </c>
      <c r="E53" s="1" t="n">
        <v>46315</v>
      </c>
      <c r="F53" t="inlineStr">
        <is>
          <t>KRONOBERGS LÄN</t>
        </is>
      </c>
      <c r="G53" t="inlineStr">
        <is>
          <t>ÄLMHULT</t>
        </is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61084-2021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44498</v>
      </c>
      <c r="E54" s="1" t="n">
        <v>46315</v>
      </c>
      <c r="F54" t="inlineStr">
        <is>
          <t>KRONOBERGS LÄN</t>
        </is>
      </c>
      <c r="G54" t="inlineStr">
        <is>
          <t>ÄLMHULT</t>
        </is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18969-2022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44690</v>
      </c>
      <c r="E55" s="1" t="n">
        <v>46315</v>
      </c>
      <c r="F55" t="inlineStr">
        <is>
          <t>KRONOBERGS LÄN</t>
        </is>
      </c>
      <c r="G55" t="inlineStr">
        <is>
          <t>ÄLMHULT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38352-2022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44812</v>
      </c>
      <c r="E56" s="1" t="n">
        <v>46315</v>
      </c>
      <c r="F56" t="inlineStr">
        <is>
          <t>KRONOBERGS LÄN</t>
        </is>
      </c>
      <c r="G56" t="inlineStr">
        <is>
          <t>ÄLMHULT</t>
        </is>
      </c>
      <c r="I56" t="n">
        <v>0.7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62684-2021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44504</v>
      </c>
      <c r="E57" s="1" t="n">
        <v>46315</v>
      </c>
      <c r="F57" t="inlineStr">
        <is>
          <t>KRONOBERGS LÄN</t>
        </is>
      </c>
      <c r="G57" t="inlineStr">
        <is>
          <t>ÄLMHULT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6823-2022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44602</v>
      </c>
      <c r="E58" s="1" t="n">
        <v>46315</v>
      </c>
      <c r="F58" t="inlineStr">
        <is>
          <t>KRONOBERGS LÄN</t>
        </is>
      </c>
      <c r="G58" t="inlineStr">
        <is>
          <t>ÄLMHULT</t>
        </is>
      </c>
      <c r="I58" t="n">
        <v>2.3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64686-2021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44512</v>
      </c>
      <c r="E59" s="1" t="n">
        <v>46315</v>
      </c>
      <c r="F59" t="inlineStr">
        <is>
          <t>KRONOBERGS LÄN</t>
        </is>
      </c>
      <c r="G59" t="inlineStr">
        <is>
          <t>ÄLMHULT</t>
        </is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9967-2022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44621</v>
      </c>
      <c r="E60" s="1" t="n">
        <v>46315</v>
      </c>
      <c r="F60" t="inlineStr">
        <is>
          <t>KRONOBERGS LÄN</t>
        </is>
      </c>
      <c r="G60" t="inlineStr">
        <is>
          <t>ÄLMHULT</t>
        </is>
      </c>
      <c r="I60" t="n">
        <v>0.8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8216-2022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44609</v>
      </c>
      <c r="E61" s="1" t="n">
        <v>46315</v>
      </c>
      <c r="F61" t="inlineStr">
        <is>
          <t>KRONOBERGS LÄN</t>
        </is>
      </c>
      <c r="G61" t="inlineStr">
        <is>
          <t>ÄLMHULT</t>
        </is>
      </c>
      <c r="I61" t="n">
        <v>0.6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23565-2022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44721</v>
      </c>
      <c r="E62" s="1" t="n">
        <v>46315</v>
      </c>
      <c r="F62" t="inlineStr">
        <is>
          <t>KRONOBERGS LÄN</t>
        </is>
      </c>
      <c r="G62" t="inlineStr">
        <is>
          <t>ÄLMHULT</t>
        </is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3918-2022</t>
        </is>
      </c>
      <c r="B63" t="inlineStr">
        <is>
          <t>avverkningsanmälan</t>
        </is>
      </c>
      <c r="C63" t="inlineStr">
        <is>
          <t>Avverkning för att bevara och utveckla /försöksver</t>
        </is>
      </c>
      <c r="D63" s="1" t="n">
        <v>44587</v>
      </c>
      <c r="E63" s="1" t="n">
        <v>46315</v>
      </c>
      <c r="F63" t="inlineStr">
        <is>
          <t>KRONOBERGS LÄN</t>
        </is>
      </c>
      <c r="G63" t="inlineStr">
        <is>
          <t>ÄLMHULT</t>
        </is>
      </c>
      <c r="H63" t="inlineStr">
        <is>
          <t>Sveaskog</t>
        </is>
      </c>
      <c r="I63" t="n">
        <v>1.6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36019-2022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44802</v>
      </c>
      <c r="E64" s="1" t="n">
        <v>46315</v>
      </c>
      <c r="F64" t="inlineStr">
        <is>
          <t>KRONOBERGS LÄN</t>
        </is>
      </c>
      <c r="G64" t="inlineStr">
        <is>
          <t>ÄLMHULT</t>
        </is>
      </c>
      <c r="I64" t="n">
        <v>0.7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63746-2021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44509</v>
      </c>
      <c r="E65" s="1" t="n">
        <v>46315</v>
      </c>
      <c r="F65" t="inlineStr">
        <is>
          <t>KRONOBERGS LÄN</t>
        </is>
      </c>
      <c r="G65" t="inlineStr">
        <is>
          <t>ÄLMHULT</t>
        </is>
      </c>
      <c r="I65" t="n">
        <v>1.9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26709-2022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44739</v>
      </c>
      <c r="E66" s="1" t="n">
        <v>46315</v>
      </c>
      <c r="F66" t="inlineStr">
        <is>
          <t>KRONOBERGS LÄN</t>
        </is>
      </c>
      <c r="G66" t="inlineStr">
        <is>
          <t>ÄLMHULT</t>
        </is>
      </c>
      <c r="I66" t="n">
        <v>0.8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25812-2022</t>
        </is>
      </c>
      <c r="B67" t="inlineStr">
        <is>
          <t>avverkningsanmälan</t>
        </is>
      </c>
      <c r="C67" t="inlineStr">
        <is>
          <t>Avverkning för annat ändamål</t>
        </is>
      </c>
      <c r="D67" s="1" t="n">
        <v>44733</v>
      </c>
      <c r="E67" s="1" t="n">
        <v>46315</v>
      </c>
      <c r="F67" t="inlineStr">
        <is>
          <t>KRONOBERGS LÄN</t>
        </is>
      </c>
      <c r="G67" t="inlineStr">
        <is>
          <t>ÄLMHULT</t>
        </is>
      </c>
      <c r="I67" t="n">
        <v>4.6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73366-2021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44551</v>
      </c>
      <c r="E68" s="1" t="n">
        <v>46315</v>
      </c>
      <c r="F68" t="inlineStr">
        <is>
          <t>KRONOBERGS LÄN</t>
        </is>
      </c>
      <c r="G68" t="inlineStr">
        <is>
          <t>ÄLMHULT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9970-2022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44621</v>
      </c>
      <c r="E69" s="1" t="n">
        <v>46315</v>
      </c>
      <c r="F69" t="inlineStr">
        <is>
          <t>KRONOBERGS LÄN</t>
        </is>
      </c>
      <c r="G69" t="inlineStr">
        <is>
          <t>ÄLMHULT</t>
        </is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47728-2022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44854</v>
      </c>
      <c r="E70" s="1" t="n">
        <v>46315</v>
      </c>
      <c r="F70" t="inlineStr">
        <is>
          <t>KRONOBERGS LÄN</t>
        </is>
      </c>
      <c r="G70" t="inlineStr">
        <is>
          <t>ÄLMHULT</t>
        </is>
      </c>
      <c r="I70" t="n">
        <v>1.2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17727-2022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44680</v>
      </c>
      <c r="E71" s="1" t="n">
        <v>46315</v>
      </c>
      <c r="F71" t="inlineStr">
        <is>
          <t>KRONOBERGS LÄN</t>
        </is>
      </c>
      <c r="G71" t="inlineStr">
        <is>
          <t>ÄLMHULT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47747-2022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44854</v>
      </c>
      <c r="E72" s="1" t="n">
        <v>46315</v>
      </c>
      <c r="F72" t="inlineStr">
        <is>
          <t>KRONOBERGS LÄN</t>
        </is>
      </c>
      <c r="G72" t="inlineStr">
        <is>
          <t>ÄLMHULT</t>
        </is>
      </c>
      <c r="I72" t="n">
        <v>0.8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67506-2021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44524</v>
      </c>
      <c r="E73" s="1" t="n">
        <v>46315</v>
      </c>
      <c r="F73" t="inlineStr">
        <is>
          <t>KRONOBERGS LÄN</t>
        </is>
      </c>
      <c r="G73" t="inlineStr">
        <is>
          <t>ÄLMHULT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18966-2022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44690</v>
      </c>
      <c r="E74" s="1" t="n">
        <v>46315</v>
      </c>
      <c r="F74" t="inlineStr">
        <is>
          <t>KRONOBERGS LÄN</t>
        </is>
      </c>
      <c r="G74" t="inlineStr">
        <is>
          <t>ÄLMHULT</t>
        </is>
      </c>
      <c r="I74" t="n">
        <v>0.9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18968-2022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44690</v>
      </c>
      <c r="E75" s="1" t="n">
        <v>46315</v>
      </c>
      <c r="F75" t="inlineStr">
        <is>
          <t>KRONOBERGS LÄN</t>
        </is>
      </c>
      <c r="G75" t="inlineStr">
        <is>
          <t>ÄLMHULT</t>
        </is>
      </c>
      <c r="I75" t="n">
        <v>1.4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50026-2022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44865</v>
      </c>
      <c r="E76" s="1" t="n">
        <v>46315</v>
      </c>
      <c r="F76" t="inlineStr">
        <is>
          <t>KRONOBERGS LÄN</t>
        </is>
      </c>
      <c r="G76" t="inlineStr">
        <is>
          <t>ÄLMHULT</t>
        </is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60699-2021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44496</v>
      </c>
      <c r="E77" s="1" t="n">
        <v>46315</v>
      </c>
      <c r="F77" t="inlineStr">
        <is>
          <t>KRONOBERGS LÄN</t>
        </is>
      </c>
      <c r="G77" t="inlineStr">
        <is>
          <t>ÄLMHULT</t>
        </is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23566-2022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44721</v>
      </c>
      <c r="E78" s="1" t="n">
        <v>46315</v>
      </c>
      <c r="F78" t="inlineStr">
        <is>
          <t>KRONOBERGS LÄN</t>
        </is>
      </c>
      <c r="G78" t="inlineStr">
        <is>
          <t>ÄLMHULT</t>
        </is>
      </c>
      <c r="I78" t="n">
        <v>0.6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67941-2021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44525</v>
      </c>
      <c r="E79" s="1" t="n">
        <v>46315</v>
      </c>
      <c r="F79" t="inlineStr">
        <is>
          <t>KRONOBERGS LÄN</t>
        </is>
      </c>
      <c r="G79" t="inlineStr">
        <is>
          <t>ÄLMHULT</t>
        </is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18220-2022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44685</v>
      </c>
      <c r="E80" s="1" t="n">
        <v>46315</v>
      </c>
      <c r="F80" t="inlineStr">
        <is>
          <t>KRONOBERGS LÄN</t>
        </is>
      </c>
      <c r="G80" t="inlineStr">
        <is>
          <t>ÄLMHULT</t>
        </is>
      </c>
      <c r="I80" t="n">
        <v>1.5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13019-2022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44643</v>
      </c>
      <c r="E81" s="1" t="n">
        <v>46315</v>
      </c>
      <c r="F81" t="inlineStr">
        <is>
          <t>KRONOBERGS LÄN</t>
        </is>
      </c>
      <c r="G81" t="inlineStr">
        <is>
          <t>ÄLMHULT</t>
        </is>
      </c>
      <c r="I81" t="n">
        <v>2.8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5813-2022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44596</v>
      </c>
      <c r="E82" s="1" t="n">
        <v>46315</v>
      </c>
      <c r="F82" t="inlineStr">
        <is>
          <t>KRONOBERGS LÄN</t>
        </is>
      </c>
      <c r="G82" t="inlineStr">
        <is>
          <t>ÄLMHULT</t>
        </is>
      </c>
      <c r="I82" t="n">
        <v>0.6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64280-2021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44510</v>
      </c>
      <c r="E83" s="1" t="n">
        <v>46315</v>
      </c>
      <c r="F83" t="inlineStr">
        <is>
          <t>KRONOBERGS LÄN</t>
        </is>
      </c>
      <c r="G83" t="inlineStr">
        <is>
          <t>ÄLMHULT</t>
        </is>
      </c>
      <c r="I83" t="n">
        <v>1.4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66897-2021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44522</v>
      </c>
      <c r="E84" s="1" t="n">
        <v>46315</v>
      </c>
      <c r="F84" t="inlineStr">
        <is>
          <t>KRONOBERGS LÄN</t>
        </is>
      </c>
      <c r="G84" t="inlineStr">
        <is>
          <t>ÄLMHULT</t>
        </is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12145-2022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44636</v>
      </c>
      <c r="E85" s="1" t="n">
        <v>46315</v>
      </c>
      <c r="F85" t="inlineStr">
        <is>
          <t>KRONOBERGS LÄN</t>
        </is>
      </c>
      <c r="G85" t="inlineStr">
        <is>
          <t>ÄLMHULT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14986-2022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44657</v>
      </c>
      <c r="E86" s="1" t="n">
        <v>46315</v>
      </c>
      <c r="F86" t="inlineStr">
        <is>
          <t>KRONOBERGS LÄN</t>
        </is>
      </c>
      <c r="G86" t="inlineStr">
        <is>
          <t>ÄLMHULT</t>
        </is>
      </c>
      <c r="I86" t="n">
        <v>0.6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42335-2022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44831</v>
      </c>
      <c r="E87" s="1" t="n">
        <v>46315</v>
      </c>
      <c r="F87" t="inlineStr">
        <is>
          <t>KRONOBERGS LÄN</t>
        </is>
      </c>
      <c r="G87" t="inlineStr">
        <is>
          <t>ÄLMHULT</t>
        </is>
      </c>
      <c r="I87" t="n">
        <v>0.9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42337-2022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44831</v>
      </c>
      <c r="E88" s="1" t="n">
        <v>46315</v>
      </c>
      <c r="F88" t="inlineStr">
        <is>
          <t>KRONOBERGS LÄN</t>
        </is>
      </c>
      <c r="G88" t="inlineStr">
        <is>
          <t>ÄLMHULT</t>
        </is>
      </c>
      <c r="I88" t="n">
        <v>0.4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59490-2021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44491</v>
      </c>
      <c r="E89" s="1" t="n">
        <v>46315</v>
      </c>
      <c r="F89" t="inlineStr">
        <is>
          <t>KRONOBERGS LÄN</t>
        </is>
      </c>
      <c r="G89" t="inlineStr">
        <is>
          <t>ÄLMHULT</t>
        </is>
      </c>
      <c r="I89" t="n">
        <v>2.1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38823-2022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44816</v>
      </c>
      <c r="E90" s="1" t="n">
        <v>46315</v>
      </c>
      <c r="F90" t="inlineStr">
        <is>
          <t>KRONOBERGS LÄN</t>
        </is>
      </c>
      <c r="G90" t="inlineStr">
        <is>
          <t>ÄLMHULT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9760-2025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45716</v>
      </c>
      <c r="E91" s="1" t="n">
        <v>46315</v>
      </c>
      <c r="F91" t="inlineStr">
        <is>
          <t>KRONOBERGS LÄN</t>
        </is>
      </c>
      <c r="G91" t="inlineStr">
        <is>
          <t>ÄLMHULT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30852-2024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45497</v>
      </c>
      <c r="E92" s="1" t="n">
        <v>46315</v>
      </c>
      <c r="F92" t="inlineStr">
        <is>
          <t>KRONOBERGS LÄN</t>
        </is>
      </c>
      <c r="G92" t="inlineStr">
        <is>
          <t>ÄLMHULT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51759-2023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45222</v>
      </c>
      <c r="E93" s="1" t="n">
        <v>46315</v>
      </c>
      <c r="F93" t="inlineStr">
        <is>
          <t>KRONOBERGS LÄN</t>
        </is>
      </c>
      <c r="G93" t="inlineStr">
        <is>
          <t>ÄLMHULT</t>
        </is>
      </c>
      <c r="I93" t="n">
        <v>0.7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51766-2023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45222</v>
      </c>
      <c r="E94" s="1" t="n">
        <v>46315</v>
      </c>
      <c r="F94" t="inlineStr">
        <is>
          <t>KRONOBERGS LÄN</t>
        </is>
      </c>
      <c r="G94" t="inlineStr">
        <is>
          <t>ÄLMHULT</t>
        </is>
      </c>
      <c r="I94" t="n">
        <v>2.4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50062-2023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45215</v>
      </c>
      <c r="E95" s="1" t="n">
        <v>46315</v>
      </c>
      <c r="F95" t="inlineStr">
        <is>
          <t>KRONOBERGS LÄN</t>
        </is>
      </c>
      <c r="G95" t="inlineStr">
        <is>
          <t>ÄLMHULT</t>
        </is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62429-2023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45268</v>
      </c>
      <c r="E96" s="1" t="n">
        <v>46315</v>
      </c>
      <c r="F96" t="inlineStr">
        <is>
          <t>KRONOBERGS LÄN</t>
        </is>
      </c>
      <c r="G96" t="inlineStr">
        <is>
          <t>ÄLMHULT</t>
        </is>
      </c>
      <c r="I96" t="n">
        <v>1.7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49565-2023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45211</v>
      </c>
      <c r="E97" s="1" t="n">
        <v>46315</v>
      </c>
      <c r="F97" t="inlineStr">
        <is>
          <t>KRONOBERGS LÄN</t>
        </is>
      </c>
      <c r="G97" t="inlineStr">
        <is>
          <t>ÄLMHULT</t>
        </is>
      </c>
      <c r="I97" t="n">
        <v>1.5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48687-2022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44855</v>
      </c>
      <c r="E98" s="1" t="n">
        <v>46315</v>
      </c>
      <c r="F98" t="inlineStr">
        <is>
          <t>KRONOBERGS LÄN</t>
        </is>
      </c>
      <c r="G98" t="inlineStr">
        <is>
          <t>ÄLMHULT</t>
        </is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7546-2024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45348</v>
      </c>
      <c r="E99" s="1" t="n">
        <v>46315</v>
      </c>
      <c r="F99" t="inlineStr">
        <is>
          <t>KRONOBERGS LÄN</t>
        </is>
      </c>
      <c r="G99" t="inlineStr">
        <is>
          <t>ÄLMHULT</t>
        </is>
      </c>
      <c r="I99" t="n">
        <v>0.6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15568-2024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45401</v>
      </c>
      <c r="E100" s="1" t="n">
        <v>46315</v>
      </c>
      <c r="F100" t="inlineStr">
        <is>
          <t>KRONOBERGS LÄN</t>
        </is>
      </c>
      <c r="G100" t="inlineStr">
        <is>
          <t>ÄLMHULT</t>
        </is>
      </c>
      <c r="I100" t="n">
        <v>0.6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21272-2024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45440</v>
      </c>
      <c r="E101" s="1" t="n">
        <v>46315</v>
      </c>
      <c r="F101" t="inlineStr">
        <is>
          <t>KRONOBERGS LÄN</t>
        </is>
      </c>
      <c r="G101" t="inlineStr">
        <is>
          <t>ÄLMHULT</t>
        </is>
      </c>
      <c r="I101" t="n">
        <v>0.8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23832-2023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45078</v>
      </c>
      <c r="E102" s="1" t="n">
        <v>46315</v>
      </c>
      <c r="F102" t="inlineStr">
        <is>
          <t>KRONOBERGS LÄN</t>
        </is>
      </c>
      <c r="G102" t="inlineStr">
        <is>
          <t>ÄLMHULT</t>
        </is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23833-2023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45078</v>
      </c>
      <c r="E103" s="1" t="n">
        <v>46315</v>
      </c>
      <c r="F103" t="inlineStr">
        <is>
          <t>KRONOBERGS LÄN</t>
        </is>
      </c>
      <c r="G103" t="inlineStr">
        <is>
          <t>ÄLMHULT</t>
        </is>
      </c>
      <c r="I103" t="n">
        <v>0.9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59509-2023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45254</v>
      </c>
      <c r="E104" s="1" t="n">
        <v>46315</v>
      </c>
      <c r="F104" t="inlineStr">
        <is>
          <t>KRONOBERGS LÄN</t>
        </is>
      </c>
      <c r="G104" t="inlineStr">
        <is>
          <t>ÄLMHULT</t>
        </is>
      </c>
      <c r="I104" t="n">
        <v>0.9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50540-2023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45217</v>
      </c>
      <c r="E105" s="1" t="n">
        <v>46315</v>
      </c>
      <c r="F105" t="inlineStr">
        <is>
          <t>KRONOBERGS LÄN</t>
        </is>
      </c>
      <c r="G105" t="inlineStr">
        <is>
          <t>ÄLMHULT</t>
        </is>
      </c>
      <c r="I105" t="n">
        <v>1.3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37151-2024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45539</v>
      </c>
      <c r="E106" s="1" t="n">
        <v>46315</v>
      </c>
      <c r="F106" t="inlineStr">
        <is>
          <t>KRONOBERGS LÄN</t>
        </is>
      </c>
      <c r="G106" t="inlineStr">
        <is>
          <t>ÄLMHULT</t>
        </is>
      </c>
      <c r="I106" t="n">
        <v>0.9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3307-2024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45317</v>
      </c>
      <c r="E107" s="1" t="n">
        <v>46315</v>
      </c>
      <c r="F107" t="inlineStr">
        <is>
          <t>KRONOBERGS LÄN</t>
        </is>
      </c>
      <c r="G107" t="inlineStr">
        <is>
          <t>ÄLMHULT</t>
        </is>
      </c>
      <c r="I107" t="n">
        <v>9.1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35102-2024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45529</v>
      </c>
      <c r="E108" s="1" t="n">
        <v>46315</v>
      </c>
      <c r="F108" t="inlineStr">
        <is>
          <t>KRONOBERGS LÄN</t>
        </is>
      </c>
      <c r="G108" t="inlineStr">
        <is>
          <t>ÄLMHULT</t>
        </is>
      </c>
      <c r="I108" t="n">
        <v>1.1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11014-2023</t>
        </is>
      </c>
      <c r="B109" t="inlineStr">
        <is>
          <t>avverkningsanmälan</t>
        </is>
      </c>
      <c r="C109" t="inlineStr">
        <is>
          <t>Avverkning för annat ändamål</t>
        </is>
      </c>
      <c r="D109" s="1" t="n">
        <v>44986</v>
      </c>
      <c r="E109" s="1" t="n">
        <v>46315</v>
      </c>
      <c r="F109" t="inlineStr">
        <is>
          <t>KRONOBERGS LÄN</t>
        </is>
      </c>
      <c r="G109" t="inlineStr">
        <is>
          <t>ÄLMHULT</t>
        </is>
      </c>
      <c r="H109" t="inlineStr">
        <is>
          <t>Kyrkan</t>
        </is>
      </c>
      <c r="I109" t="n">
        <v>1.7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24219-2024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45457</v>
      </c>
      <c r="E110" s="1" t="n">
        <v>46315</v>
      </c>
      <c r="F110" t="inlineStr">
        <is>
          <t>KRONOBERGS LÄN</t>
        </is>
      </c>
      <c r="G110" t="inlineStr">
        <is>
          <t>ÄLMHULT</t>
        </is>
      </c>
      <c r="I110" t="n">
        <v>8.9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50031-2022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44865</v>
      </c>
      <c r="E111" s="1" t="n">
        <v>46315</v>
      </c>
      <c r="F111" t="inlineStr">
        <is>
          <t>KRONOBERGS LÄN</t>
        </is>
      </c>
      <c r="G111" t="inlineStr">
        <is>
          <t>ÄLMHULT</t>
        </is>
      </c>
      <c r="I111" t="n">
        <v>0.6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25636-2023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45089</v>
      </c>
      <c r="E112" s="1" t="n">
        <v>46315</v>
      </c>
      <c r="F112" t="inlineStr">
        <is>
          <t>KRONOBERGS LÄN</t>
        </is>
      </c>
      <c r="G112" t="inlineStr">
        <is>
          <t>ÄLMHULT</t>
        </is>
      </c>
      <c r="I112" t="n">
        <v>0.7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58494-2023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45251</v>
      </c>
      <c r="E113" s="1" t="n">
        <v>46315</v>
      </c>
      <c r="F113" t="inlineStr">
        <is>
          <t>KRONOBERGS LÄN</t>
        </is>
      </c>
      <c r="G113" t="inlineStr">
        <is>
          <t>ÄLMHULT</t>
        </is>
      </c>
      <c r="I113" t="n">
        <v>3.3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2072-2024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45309</v>
      </c>
      <c r="E114" s="1" t="n">
        <v>46315</v>
      </c>
      <c r="F114" t="inlineStr">
        <is>
          <t>KRONOBERGS LÄN</t>
        </is>
      </c>
      <c r="G114" t="inlineStr">
        <is>
          <t>ÄLMHULT</t>
        </is>
      </c>
      <c r="I114" t="n">
        <v>0.9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59124-2022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44897</v>
      </c>
      <c r="E115" s="1" t="n">
        <v>46315</v>
      </c>
      <c r="F115" t="inlineStr">
        <is>
          <t>KRONOBERGS LÄN</t>
        </is>
      </c>
      <c r="G115" t="inlineStr">
        <is>
          <t>ÄLMHULT</t>
        </is>
      </c>
      <c r="I115" t="n">
        <v>0.7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24222-2024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45457</v>
      </c>
      <c r="E116" s="1" t="n">
        <v>46315</v>
      </c>
      <c r="F116" t="inlineStr">
        <is>
          <t>KRONOBERGS LÄN</t>
        </is>
      </c>
      <c r="G116" t="inlineStr">
        <is>
          <t>ÄLMHULT</t>
        </is>
      </c>
      <c r="I116" t="n">
        <v>0.9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24230-2024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45457</v>
      </c>
      <c r="E117" s="1" t="n">
        <v>46315</v>
      </c>
      <c r="F117" t="inlineStr">
        <is>
          <t>KRONOBERGS LÄN</t>
        </is>
      </c>
      <c r="G117" t="inlineStr">
        <is>
          <t>ÄLMHULT</t>
        </is>
      </c>
      <c r="I117" t="n">
        <v>1.7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34662-2023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45140</v>
      </c>
      <c r="E118" s="1" t="n">
        <v>46315</v>
      </c>
      <c r="F118" t="inlineStr">
        <is>
          <t>KRONOBERGS LÄN</t>
        </is>
      </c>
      <c r="G118" t="inlineStr">
        <is>
          <t>ÄLMHULT</t>
        </is>
      </c>
      <c r="I118" t="n">
        <v>0.6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36000-2024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45533</v>
      </c>
      <c r="E119" s="1" t="n">
        <v>46315</v>
      </c>
      <c r="F119" t="inlineStr">
        <is>
          <t>KRONOBERGS LÄN</t>
        </is>
      </c>
      <c r="G119" t="inlineStr">
        <is>
          <t>ÄLMHULT</t>
        </is>
      </c>
      <c r="I119" t="n">
        <v>0.7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5730-2023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44962</v>
      </c>
      <c r="E120" s="1" t="n">
        <v>46315</v>
      </c>
      <c r="F120" t="inlineStr">
        <is>
          <t>KRONOBERGS LÄN</t>
        </is>
      </c>
      <c r="G120" t="inlineStr">
        <is>
          <t>ÄLMHULT</t>
        </is>
      </c>
      <c r="I120" t="n">
        <v>1.5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7911-2023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44973</v>
      </c>
      <c r="E121" s="1" t="n">
        <v>46315</v>
      </c>
      <c r="F121" t="inlineStr">
        <is>
          <t>KRONOBERGS LÄN</t>
        </is>
      </c>
      <c r="G121" t="inlineStr">
        <is>
          <t>ÄLMHULT</t>
        </is>
      </c>
      <c r="I121" t="n">
        <v>1.6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47537-2022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44853</v>
      </c>
      <c r="E122" s="1" t="n">
        <v>46315</v>
      </c>
      <c r="F122" t="inlineStr">
        <is>
          <t>KRONOBERGS LÄN</t>
        </is>
      </c>
      <c r="G122" t="inlineStr">
        <is>
          <t>ÄLMHULT</t>
        </is>
      </c>
      <c r="I122" t="n">
        <v>0.7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3034-2022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44582</v>
      </c>
      <c r="E123" s="1" t="n">
        <v>46315</v>
      </c>
      <c r="F123" t="inlineStr">
        <is>
          <t>KRONOBERGS LÄN</t>
        </is>
      </c>
      <c r="G123" t="inlineStr">
        <is>
          <t>ÄLMHULT</t>
        </is>
      </c>
      <c r="I123" t="n">
        <v>1.9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2241-2023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44942</v>
      </c>
      <c r="E124" s="1" t="n">
        <v>46315</v>
      </c>
      <c r="F124" t="inlineStr">
        <is>
          <t>KRONOBERGS LÄN</t>
        </is>
      </c>
      <c r="G124" t="inlineStr">
        <is>
          <t>ÄLMHULT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40123-2023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45169</v>
      </c>
      <c r="E125" s="1" t="n">
        <v>46315</v>
      </c>
      <c r="F125" t="inlineStr">
        <is>
          <t>KRONOBERGS LÄN</t>
        </is>
      </c>
      <c r="G125" t="inlineStr">
        <is>
          <t>ÄLMHULT</t>
        </is>
      </c>
      <c r="I125" t="n">
        <v>1.3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30930-2023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45113</v>
      </c>
      <c r="E126" s="1" t="n">
        <v>46315</v>
      </c>
      <c r="F126" t="inlineStr">
        <is>
          <t>KRONOBERGS LÄN</t>
        </is>
      </c>
      <c r="G126" t="inlineStr">
        <is>
          <t>ÄLMHULT</t>
        </is>
      </c>
      <c r="I126" t="n">
        <v>1.1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72469-2021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44545</v>
      </c>
      <c r="E127" s="1" t="n">
        <v>46315</v>
      </c>
      <c r="F127" t="inlineStr">
        <is>
          <t>KRONOBERGS LÄN</t>
        </is>
      </c>
      <c r="G127" t="inlineStr">
        <is>
          <t>ÄLMHULT</t>
        </is>
      </c>
      <c r="I127" t="n">
        <v>0.9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12851-2024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45384</v>
      </c>
      <c r="E128" s="1" t="n">
        <v>46315</v>
      </c>
      <c r="F128" t="inlineStr">
        <is>
          <t>KRONOBERGS LÄN</t>
        </is>
      </c>
      <c r="G128" t="inlineStr">
        <is>
          <t>ÄLMHULT</t>
        </is>
      </c>
      <c r="I128" t="n">
        <v>2.2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2419-2023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44943</v>
      </c>
      <c r="E129" s="1" t="n">
        <v>46315</v>
      </c>
      <c r="F129" t="inlineStr">
        <is>
          <t>KRONOBERGS LÄN</t>
        </is>
      </c>
      <c r="G129" t="inlineStr">
        <is>
          <t>ÄLMHULT</t>
        </is>
      </c>
      <c r="I129" t="n">
        <v>1.6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11585-2024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45373</v>
      </c>
      <c r="E130" s="1" t="n">
        <v>46315</v>
      </c>
      <c r="F130" t="inlineStr">
        <is>
          <t>KRONOBERGS LÄN</t>
        </is>
      </c>
      <c r="G130" t="inlineStr">
        <is>
          <t>ÄLMHULT</t>
        </is>
      </c>
      <c r="H130" t="inlineStr">
        <is>
          <t>Sveaskog</t>
        </is>
      </c>
      <c r="I130" t="n">
        <v>3.6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11591-2024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45373</v>
      </c>
      <c r="E131" s="1" t="n">
        <v>46315</v>
      </c>
      <c r="F131" t="inlineStr">
        <is>
          <t>KRONOBERGS LÄN</t>
        </is>
      </c>
      <c r="G131" t="inlineStr">
        <is>
          <t>ÄLMHULT</t>
        </is>
      </c>
      <c r="H131" t="inlineStr">
        <is>
          <t>Sveaskog</t>
        </is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527-2023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44930</v>
      </c>
      <c r="E132" s="1" t="n">
        <v>46315</v>
      </c>
      <c r="F132" t="inlineStr">
        <is>
          <t>KRONOBERGS LÄN</t>
        </is>
      </c>
      <c r="G132" t="inlineStr">
        <is>
          <t>ÄLMHULT</t>
        </is>
      </c>
      <c r="I132" t="n">
        <v>0.5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20377-2024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45435</v>
      </c>
      <c r="E133" s="1" t="n">
        <v>46315</v>
      </c>
      <c r="F133" t="inlineStr">
        <is>
          <t>KRONOBERGS LÄN</t>
        </is>
      </c>
      <c r="G133" t="inlineStr">
        <is>
          <t>ÄLMHULT</t>
        </is>
      </c>
      <c r="I133" t="n">
        <v>1.2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20380-2024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45435</v>
      </c>
      <c r="E134" s="1" t="n">
        <v>46315</v>
      </c>
      <c r="F134" t="inlineStr">
        <is>
          <t>KRONOBERGS LÄN</t>
        </is>
      </c>
      <c r="G134" t="inlineStr">
        <is>
          <t>ÄLMHULT</t>
        </is>
      </c>
      <c r="I134" t="n">
        <v>0.7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20382-2024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45435</v>
      </c>
      <c r="E135" s="1" t="n">
        <v>46315</v>
      </c>
      <c r="F135" t="inlineStr">
        <is>
          <t>KRONOBERGS LÄN</t>
        </is>
      </c>
      <c r="G135" t="inlineStr">
        <is>
          <t>ÄLMHULT</t>
        </is>
      </c>
      <c r="I135" t="n">
        <v>0.8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47536-2022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44853</v>
      </c>
      <c r="E136" s="1" t="n">
        <v>46315</v>
      </c>
      <c r="F136" t="inlineStr">
        <is>
          <t>KRONOBERGS LÄN</t>
        </is>
      </c>
      <c r="G136" t="inlineStr">
        <is>
          <t>ÄLMHULT</t>
        </is>
      </c>
      <c r="I136" t="n">
        <v>9.6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60487-2022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44911</v>
      </c>
      <c r="E137" s="1" t="n">
        <v>46315</v>
      </c>
      <c r="F137" t="inlineStr">
        <is>
          <t>KRONOBERGS LÄN</t>
        </is>
      </c>
      <c r="G137" t="inlineStr">
        <is>
          <t>ÄLMHULT</t>
        </is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11787-2023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44994</v>
      </c>
      <c r="E138" s="1" t="n">
        <v>46315</v>
      </c>
      <c r="F138" t="inlineStr">
        <is>
          <t>KRONOBERGS LÄN</t>
        </is>
      </c>
      <c r="G138" t="inlineStr">
        <is>
          <t>ÄLMHULT</t>
        </is>
      </c>
      <c r="I138" t="n">
        <v>1.4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11798-2023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44994</v>
      </c>
      <c r="E139" s="1" t="n">
        <v>46315</v>
      </c>
      <c r="F139" t="inlineStr">
        <is>
          <t>KRONOBERGS LÄN</t>
        </is>
      </c>
      <c r="G139" t="inlineStr">
        <is>
          <t>ÄLMHULT</t>
        </is>
      </c>
      <c r="I139" t="n">
        <v>0.7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69444-2021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44531</v>
      </c>
      <c r="E140" s="1" t="n">
        <v>46315</v>
      </c>
      <c r="F140" t="inlineStr">
        <is>
          <t>KRONOBERGS LÄN</t>
        </is>
      </c>
      <c r="G140" t="inlineStr">
        <is>
          <t>ÄLMHULT</t>
        </is>
      </c>
      <c r="I140" t="n">
        <v>1.7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11587-2024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45373</v>
      </c>
      <c r="E141" s="1" t="n">
        <v>46315</v>
      </c>
      <c r="F141" t="inlineStr">
        <is>
          <t>KRONOBERGS LÄN</t>
        </is>
      </c>
      <c r="G141" t="inlineStr">
        <is>
          <t>ÄLMHULT</t>
        </is>
      </c>
      <c r="H141" t="inlineStr">
        <is>
          <t>Sveaskog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36968-2024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45538</v>
      </c>
      <c r="E142" s="1" t="n">
        <v>46315</v>
      </c>
      <c r="F142" t="inlineStr">
        <is>
          <t>KRONOBERGS LÄN</t>
        </is>
      </c>
      <c r="G142" t="inlineStr">
        <is>
          <t>ÄLMHULT</t>
        </is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60876-2022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44914</v>
      </c>
      <c r="E143" s="1" t="n">
        <v>46315</v>
      </c>
      <c r="F143" t="inlineStr">
        <is>
          <t>KRONOBERGS LÄN</t>
        </is>
      </c>
      <c r="G143" t="inlineStr">
        <is>
          <t>ÄLMHULT</t>
        </is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41492-2023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45175</v>
      </c>
      <c r="E144" s="1" t="n">
        <v>46315</v>
      </c>
      <c r="F144" t="inlineStr">
        <is>
          <t>KRONOBERGS LÄN</t>
        </is>
      </c>
      <c r="G144" t="inlineStr">
        <is>
          <t>ÄLMHULT</t>
        </is>
      </c>
      <c r="I144" t="n">
        <v>2.1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62241-2021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44503</v>
      </c>
      <c r="E145" s="1" t="n">
        <v>46315</v>
      </c>
      <c r="F145" t="inlineStr">
        <is>
          <t>KRONOBERGS LÄN</t>
        </is>
      </c>
      <c r="G145" t="inlineStr">
        <is>
          <t>ÄLMHULT</t>
        </is>
      </c>
      <c r="I145" t="n">
        <v>0.4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48800-2022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44859</v>
      </c>
      <c r="E146" s="1" t="n">
        <v>46315</v>
      </c>
      <c r="F146" t="inlineStr">
        <is>
          <t>KRONOBERGS LÄN</t>
        </is>
      </c>
      <c r="G146" t="inlineStr">
        <is>
          <t>ÄLMHULT</t>
        </is>
      </c>
      <c r="I146" t="n">
        <v>1.7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44445-2024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45574</v>
      </c>
      <c r="E147" s="1" t="n">
        <v>46315</v>
      </c>
      <c r="F147" t="inlineStr">
        <is>
          <t>KRONOBERGS LÄN</t>
        </is>
      </c>
      <c r="G147" t="inlineStr">
        <is>
          <t>ÄLMHULT</t>
        </is>
      </c>
      <c r="I147" t="n">
        <v>2.6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41055-2024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45559</v>
      </c>
      <c r="E148" s="1" t="n">
        <v>46315</v>
      </c>
      <c r="F148" t="inlineStr">
        <is>
          <t>KRONOBERGS LÄN</t>
        </is>
      </c>
      <c r="G148" t="inlineStr">
        <is>
          <t>ÄLMHULT</t>
        </is>
      </c>
      <c r="I148" t="n">
        <v>0.6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3686-2025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45681</v>
      </c>
      <c r="E149" s="1" t="n">
        <v>46315</v>
      </c>
      <c r="F149" t="inlineStr">
        <is>
          <t>KRONOBERGS LÄN</t>
        </is>
      </c>
      <c r="G149" t="inlineStr">
        <is>
          <t>ÄLMHULT</t>
        </is>
      </c>
      <c r="I149" t="n">
        <v>0.7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32617-2024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45513</v>
      </c>
      <c r="E150" s="1" t="n">
        <v>46315</v>
      </c>
      <c r="F150" t="inlineStr">
        <is>
          <t>KRONOBERGS LÄN</t>
        </is>
      </c>
      <c r="G150" t="inlineStr">
        <is>
          <t>ÄLMHULT</t>
        </is>
      </c>
      <c r="I150" t="n">
        <v>7.6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4577-2025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45687</v>
      </c>
      <c r="E151" s="1" t="n">
        <v>46315</v>
      </c>
      <c r="F151" t="inlineStr">
        <is>
          <t>KRONOBERGS LÄN</t>
        </is>
      </c>
      <c r="G151" t="inlineStr">
        <is>
          <t>ÄLMHULT</t>
        </is>
      </c>
      <c r="I151" t="n">
        <v>3.3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37803-2024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45543</v>
      </c>
      <c r="E152" s="1" t="n">
        <v>46315</v>
      </c>
      <c r="F152" t="inlineStr">
        <is>
          <t>KRONOBERGS LÄN</t>
        </is>
      </c>
      <c r="G152" t="inlineStr">
        <is>
          <t>ÄLMHULT</t>
        </is>
      </c>
      <c r="I152" t="n">
        <v>3.1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42383-2024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45564</v>
      </c>
      <c r="E153" s="1" t="n">
        <v>46315</v>
      </c>
      <c r="F153" t="inlineStr">
        <is>
          <t>KRONOBERGS LÄN</t>
        </is>
      </c>
      <c r="G153" t="inlineStr">
        <is>
          <t>ÄLMHULT</t>
        </is>
      </c>
      <c r="I153" t="n">
        <v>4.7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40373-2024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45554</v>
      </c>
      <c r="E154" s="1" t="n">
        <v>46315</v>
      </c>
      <c r="F154" t="inlineStr">
        <is>
          <t>KRONOBERGS LÄN</t>
        </is>
      </c>
      <c r="G154" t="inlineStr">
        <is>
          <t>ÄLMHULT</t>
        </is>
      </c>
      <c r="I154" t="n">
        <v>0.7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59513-2023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45254</v>
      </c>
      <c r="E155" s="1" t="n">
        <v>46315</v>
      </c>
      <c r="F155" t="inlineStr">
        <is>
          <t>KRONOBERGS LÄN</t>
        </is>
      </c>
      <c r="G155" t="inlineStr">
        <is>
          <t>ÄLMHULT</t>
        </is>
      </c>
      <c r="I155" t="n">
        <v>0.7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11800-2023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44994</v>
      </c>
      <c r="E156" s="1" t="n">
        <v>46315</v>
      </c>
      <c r="F156" t="inlineStr">
        <is>
          <t>KRONOBERGS LÄN</t>
        </is>
      </c>
      <c r="G156" t="inlineStr">
        <is>
          <t>ÄLMHULT</t>
        </is>
      </c>
      <c r="I156" t="n">
        <v>0.9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22415-2024</t>
        </is>
      </c>
      <c r="B157" t="inlineStr">
        <is>
          <t>avverkningsanmälan</t>
        </is>
      </c>
      <c r="C157" t="inlineStr">
        <is>
          <t>Avverkning för annat ändamål</t>
        </is>
      </c>
      <c r="D157" s="1" t="n">
        <v>45446</v>
      </c>
      <c r="E157" s="1" t="n">
        <v>46315</v>
      </c>
      <c r="F157" t="inlineStr">
        <is>
          <t>KRONOBERGS LÄN</t>
        </is>
      </c>
      <c r="G157" t="inlineStr">
        <is>
          <t>ÄLMHULT</t>
        </is>
      </c>
      <c r="I157" t="n">
        <v>0.8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40660-2023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45170</v>
      </c>
      <c r="E158" s="1" t="n">
        <v>46315</v>
      </c>
      <c r="F158" t="inlineStr">
        <is>
          <t>KRONOBERGS LÄN</t>
        </is>
      </c>
      <c r="G158" t="inlineStr">
        <is>
          <t>ÄLMHULT</t>
        </is>
      </c>
      <c r="I158" t="n">
        <v>1.9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49041-2024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45594</v>
      </c>
      <c r="E159" s="1" t="n">
        <v>46315</v>
      </c>
      <c r="F159" t="inlineStr">
        <is>
          <t>KRONOBERGS LÄN</t>
        </is>
      </c>
      <c r="G159" t="inlineStr">
        <is>
          <t>ÄLMHULT</t>
        </is>
      </c>
      <c r="I159" t="n">
        <v>1.2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47897-2024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45588</v>
      </c>
      <c r="E160" s="1" t="n">
        <v>46315</v>
      </c>
      <c r="F160" t="inlineStr">
        <is>
          <t>KRONOBERGS LÄN</t>
        </is>
      </c>
      <c r="G160" t="inlineStr">
        <is>
          <t>ÄLMHULT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25319-2024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45462</v>
      </c>
      <c r="E161" s="1" t="n">
        <v>46315</v>
      </c>
      <c r="F161" t="inlineStr">
        <is>
          <t>KRONOBERGS LÄN</t>
        </is>
      </c>
      <c r="G161" t="inlineStr">
        <is>
          <t>ÄLMHULT</t>
        </is>
      </c>
      <c r="I161" t="n">
        <v>3.4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45525-2024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45578</v>
      </c>
      <c r="E162" s="1" t="n">
        <v>46315</v>
      </c>
      <c r="F162" t="inlineStr">
        <is>
          <t>KRONOBERGS LÄN</t>
        </is>
      </c>
      <c r="G162" t="inlineStr">
        <is>
          <t>ÄLMHULT</t>
        </is>
      </c>
      <c r="I162" t="n">
        <v>5.7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11427-2024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45372</v>
      </c>
      <c r="E163" s="1" t="n">
        <v>46315</v>
      </c>
      <c r="F163" t="inlineStr">
        <is>
          <t>KRONOBERGS LÄN</t>
        </is>
      </c>
      <c r="G163" t="inlineStr">
        <is>
          <t>ÄLMHULT</t>
        </is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2015-2024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45308</v>
      </c>
      <c r="E164" s="1" t="n">
        <v>46315</v>
      </c>
      <c r="F164" t="inlineStr">
        <is>
          <t>KRONOBERGS LÄN</t>
        </is>
      </c>
      <c r="G164" t="inlineStr">
        <is>
          <t>ÄLMHULT</t>
        </is>
      </c>
      <c r="I164" t="n">
        <v>2.3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57197-2024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45629</v>
      </c>
      <c r="E165" s="1" t="n">
        <v>46315</v>
      </c>
      <c r="F165" t="inlineStr">
        <is>
          <t>KRONOBERGS LÄN</t>
        </is>
      </c>
      <c r="G165" t="inlineStr">
        <is>
          <t>ÄLMHULT</t>
        </is>
      </c>
      <c r="I165" t="n">
        <v>1.5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60266-2023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45258</v>
      </c>
      <c r="E166" s="1" t="n">
        <v>46315</v>
      </c>
      <c r="F166" t="inlineStr">
        <is>
          <t>KRONOBERGS LÄN</t>
        </is>
      </c>
      <c r="G166" t="inlineStr">
        <is>
          <t>ÄLMHULT</t>
        </is>
      </c>
      <c r="I166" t="n">
        <v>1.1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35248-2023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45145</v>
      </c>
      <c r="E167" s="1" t="n">
        <v>46315</v>
      </c>
      <c r="F167" t="inlineStr">
        <is>
          <t>KRONOBERGS LÄN</t>
        </is>
      </c>
      <c r="G167" t="inlineStr">
        <is>
          <t>ÄLMHULT</t>
        </is>
      </c>
      <c r="I167" t="n">
        <v>0.7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36545-2024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45537</v>
      </c>
      <c r="E168" s="1" t="n">
        <v>46315</v>
      </c>
      <c r="F168" t="inlineStr">
        <is>
          <t>KRONOBERGS LÄN</t>
        </is>
      </c>
      <c r="G168" t="inlineStr">
        <is>
          <t>ÄLMHULT</t>
        </is>
      </c>
      <c r="I168" t="n">
        <v>2.7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3577-2025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45680</v>
      </c>
      <c r="E169" s="1" t="n">
        <v>46315</v>
      </c>
      <c r="F169" t="inlineStr">
        <is>
          <t>KRONOBERGS LÄN</t>
        </is>
      </c>
      <c r="G169" t="inlineStr">
        <is>
          <t>ÄLMHULT</t>
        </is>
      </c>
      <c r="I169" t="n">
        <v>1.1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35627-2024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45531</v>
      </c>
      <c r="E170" s="1" t="n">
        <v>46315</v>
      </c>
      <c r="F170" t="inlineStr">
        <is>
          <t>KRONOBERGS LÄN</t>
        </is>
      </c>
      <c r="G170" t="inlineStr">
        <is>
          <t>ÄLMHULT</t>
        </is>
      </c>
      <c r="I170" t="n">
        <v>6.9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61414-2025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46000</v>
      </c>
      <c r="E171" s="1" t="n">
        <v>46315</v>
      </c>
      <c r="F171" t="inlineStr">
        <is>
          <t>KRONOBERGS LÄN</t>
        </is>
      </c>
      <c r="G171" t="inlineStr">
        <is>
          <t>ÄLMHULT</t>
        </is>
      </c>
      <c r="H171" t="inlineStr">
        <is>
          <t>Kommuner</t>
        </is>
      </c>
      <c r="I171" t="n">
        <v>1.5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38476-2025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45884</v>
      </c>
      <c r="E172" s="1" t="n">
        <v>46315</v>
      </c>
      <c r="F172" t="inlineStr">
        <is>
          <t>KRONOBERGS LÄN</t>
        </is>
      </c>
      <c r="G172" t="inlineStr">
        <is>
          <t>ÄLMHULT</t>
        </is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26602-2024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45469</v>
      </c>
      <c r="E173" s="1" t="n">
        <v>46315</v>
      </c>
      <c r="F173" t="inlineStr">
        <is>
          <t>KRONOBERGS LÄN</t>
        </is>
      </c>
      <c r="G173" t="inlineStr">
        <is>
          <t>ÄLMHULT</t>
        </is>
      </c>
      <c r="H173" t="inlineStr">
        <is>
          <t>Sveaskog</t>
        </is>
      </c>
      <c r="I173" t="n">
        <v>0.9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24028-2023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45078</v>
      </c>
      <c r="E174" s="1" t="n">
        <v>46315</v>
      </c>
      <c r="F174" t="inlineStr">
        <is>
          <t>KRONOBERGS LÄN</t>
        </is>
      </c>
      <c r="G174" t="inlineStr">
        <is>
          <t>ÄLMHULT</t>
        </is>
      </c>
      <c r="I174" t="n">
        <v>4.6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4641-2024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45328</v>
      </c>
      <c r="E175" s="1" t="n">
        <v>46315</v>
      </c>
      <c r="F175" t="inlineStr">
        <is>
          <t>KRONOBERGS LÄN</t>
        </is>
      </c>
      <c r="G175" t="inlineStr">
        <is>
          <t>ÄLMHULT</t>
        </is>
      </c>
      <c r="I175" t="n">
        <v>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9372-2025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45715</v>
      </c>
      <c r="E176" s="1" t="n">
        <v>46315</v>
      </c>
      <c r="F176" t="inlineStr">
        <is>
          <t>KRONOBERGS LÄN</t>
        </is>
      </c>
      <c r="G176" t="inlineStr">
        <is>
          <t>ÄLMHULT</t>
        </is>
      </c>
      <c r="I176" t="n">
        <v>0.4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64999-2023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45286</v>
      </c>
      <c r="E177" s="1" t="n">
        <v>46315</v>
      </c>
      <c r="F177" t="inlineStr">
        <is>
          <t>KRONOBERGS LÄN</t>
        </is>
      </c>
      <c r="G177" t="inlineStr">
        <is>
          <t>ÄLMHULT</t>
        </is>
      </c>
      <c r="I177" t="n">
        <v>1.3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58047-2024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45631</v>
      </c>
      <c r="E178" s="1" t="n">
        <v>46315</v>
      </c>
      <c r="F178" t="inlineStr">
        <is>
          <t>KRONOBERGS LÄN</t>
        </is>
      </c>
      <c r="G178" t="inlineStr">
        <is>
          <t>ÄLMHULT</t>
        </is>
      </c>
      <c r="I178" t="n">
        <v>1.3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39102-2025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45888</v>
      </c>
      <c r="E179" s="1" t="n">
        <v>46315</v>
      </c>
      <c r="F179" t="inlineStr">
        <is>
          <t>KRONOBERGS LÄN</t>
        </is>
      </c>
      <c r="G179" t="inlineStr">
        <is>
          <t>ÄLMHULT</t>
        </is>
      </c>
      <c r="I179" t="n">
        <v>4.5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38838-2025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45887</v>
      </c>
      <c r="E180" s="1" t="n">
        <v>46315</v>
      </c>
      <c r="F180" t="inlineStr">
        <is>
          <t>KRONOBERGS LÄN</t>
        </is>
      </c>
      <c r="G180" t="inlineStr">
        <is>
          <t>ÄLMHULT</t>
        </is>
      </c>
      <c r="I180" t="n">
        <v>1.3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19722-2023</t>
        </is>
      </c>
      <c r="B181" t="inlineStr">
        <is>
          <t>avverkningsanmälan</t>
        </is>
      </c>
      <c r="C181" t="inlineStr">
        <is>
          <t>Avverkning för annat ändamål</t>
        </is>
      </c>
      <c r="D181" s="1" t="n">
        <v>45051</v>
      </c>
      <c r="E181" s="1" t="n">
        <v>46315</v>
      </c>
      <c r="F181" t="inlineStr">
        <is>
          <t>KRONOBERGS LÄN</t>
        </is>
      </c>
      <c r="G181" t="inlineStr">
        <is>
          <t>ÄLMHULT</t>
        </is>
      </c>
      <c r="I181" t="n">
        <v>2.6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36815-2023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45154</v>
      </c>
      <c r="E182" s="1" t="n">
        <v>46315</v>
      </c>
      <c r="F182" t="inlineStr">
        <is>
          <t>KRONOBERGS LÄN</t>
        </is>
      </c>
      <c r="G182" t="inlineStr">
        <is>
          <t>ÄLMHULT</t>
        </is>
      </c>
      <c r="I182" t="n">
        <v>1.5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42780-2023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45181</v>
      </c>
      <c r="E183" s="1" t="n">
        <v>46315</v>
      </c>
      <c r="F183" t="inlineStr">
        <is>
          <t>KRONOBERGS LÄN</t>
        </is>
      </c>
      <c r="G183" t="inlineStr">
        <is>
          <t>ÄLMHULT</t>
        </is>
      </c>
      <c r="I183" t="n">
        <v>1.8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59202-2024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45637</v>
      </c>
      <c r="E184" s="1" t="n">
        <v>46315</v>
      </c>
      <c r="F184" t="inlineStr">
        <is>
          <t>KRONOBERGS LÄN</t>
        </is>
      </c>
      <c r="G184" t="inlineStr">
        <is>
          <t>ÄLMHULT</t>
        </is>
      </c>
      <c r="I184" t="n">
        <v>3.8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30370-2022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44760</v>
      </c>
      <c r="E185" s="1" t="n">
        <v>46315</v>
      </c>
      <c r="F185" t="inlineStr">
        <is>
          <t>KRONOBERGS LÄN</t>
        </is>
      </c>
      <c r="G185" t="inlineStr">
        <is>
          <t>ÄLMHULT</t>
        </is>
      </c>
      <c r="I185" t="n">
        <v>0.7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52757-2024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45610</v>
      </c>
      <c r="E186" s="1" t="n">
        <v>46315</v>
      </c>
      <c r="F186" t="inlineStr">
        <is>
          <t>KRONOBERGS LÄN</t>
        </is>
      </c>
      <c r="G186" t="inlineStr">
        <is>
          <t>ÄLMHULT</t>
        </is>
      </c>
      <c r="I186" t="n">
        <v>3.1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68212-2021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44526</v>
      </c>
      <c r="E187" s="1" t="n">
        <v>46315</v>
      </c>
      <c r="F187" t="inlineStr">
        <is>
          <t>KRONOBERGS LÄN</t>
        </is>
      </c>
      <c r="G187" t="inlineStr">
        <is>
          <t>ÄLMHULT</t>
        </is>
      </c>
      <c r="I187" t="n">
        <v>1.1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23377-2023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45076</v>
      </c>
      <c r="E188" s="1" t="n">
        <v>46315</v>
      </c>
      <c r="F188" t="inlineStr">
        <is>
          <t>KRONOBERGS LÄN</t>
        </is>
      </c>
      <c r="G188" t="inlineStr">
        <is>
          <t>ÄLMHULT</t>
        </is>
      </c>
      <c r="I188" t="n">
        <v>2.9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23380-2023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45076</v>
      </c>
      <c r="E189" s="1" t="n">
        <v>46315</v>
      </c>
      <c r="F189" t="inlineStr">
        <is>
          <t>KRONOBERGS LÄN</t>
        </is>
      </c>
      <c r="G189" t="inlineStr">
        <is>
          <t>ÄLMHULT</t>
        </is>
      </c>
      <c r="I189" t="n">
        <v>2.8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41129-2025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45898</v>
      </c>
      <c r="E190" s="1" t="n">
        <v>46315</v>
      </c>
      <c r="F190" t="inlineStr">
        <is>
          <t>KRONOBERGS LÄN</t>
        </is>
      </c>
      <c r="G190" t="inlineStr">
        <is>
          <t>ÄLMHULT</t>
        </is>
      </c>
      <c r="I190" t="n">
        <v>1.3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40961-2025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45897</v>
      </c>
      <c r="E191" s="1" t="n">
        <v>46315</v>
      </c>
      <c r="F191" t="inlineStr">
        <is>
          <t>KRONOBERGS LÄN</t>
        </is>
      </c>
      <c r="G191" t="inlineStr">
        <is>
          <t>ÄLMHULT</t>
        </is>
      </c>
      <c r="I191" t="n">
        <v>3.9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12221-2023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44998</v>
      </c>
      <c r="E192" s="1" t="n">
        <v>46315</v>
      </c>
      <c r="F192" t="inlineStr">
        <is>
          <t>KRONOBERGS LÄN</t>
        </is>
      </c>
      <c r="G192" t="inlineStr">
        <is>
          <t>ÄLMHULT</t>
        </is>
      </c>
      <c r="H192" t="inlineStr">
        <is>
          <t>Sveaskog</t>
        </is>
      </c>
      <c r="I192" t="n">
        <v>9.300000000000001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47486-2025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45930</v>
      </c>
      <c r="E193" s="1" t="n">
        <v>46315</v>
      </c>
      <c r="F193" t="inlineStr">
        <is>
          <t>KRONOBERGS LÄN</t>
        </is>
      </c>
      <c r="G193" t="inlineStr">
        <is>
          <t>ÄLMHULT</t>
        </is>
      </c>
      <c r="I193" t="n">
        <v>1.2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41227-2022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44826</v>
      </c>
      <c r="E194" s="1" t="n">
        <v>46315</v>
      </c>
      <c r="F194" t="inlineStr">
        <is>
          <t>KRONOBERGS LÄN</t>
        </is>
      </c>
      <c r="G194" t="inlineStr">
        <is>
          <t>ÄLMHULT</t>
        </is>
      </c>
      <c r="I194" t="n">
        <v>0.9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57501-2024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45630</v>
      </c>
      <c r="E195" s="1" t="n">
        <v>46315</v>
      </c>
      <c r="F195" t="inlineStr">
        <is>
          <t>KRONOBERGS LÄN</t>
        </is>
      </c>
      <c r="G195" t="inlineStr">
        <is>
          <t>ÄLMHULT</t>
        </is>
      </c>
      <c r="I195" t="n">
        <v>1.2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21164-2023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45062</v>
      </c>
      <c r="E196" s="1" t="n">
        <v>46315</v>
      </c>
      <c r="F196" t="inlineStr">
        <is>
          <t>KRONOBERGS LÄN</t>
        </is>
      </c>
      <c r="G196" t="inlineStr">
        <is>
          <t>ÄLMHULT</t>
        </is>
      </c>
      <c r="I196" t="n">
        <v>0.9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15753-2025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45748</v>
      </c>
      <c r="E197" s="1" t="n">
        <v>46315</v>
      </c>
      <c r="F197" t="inlineStr">
        <is>
          <t>KRONOBERGS LÄN</t>
        </is>
      </c>
      <c r="G197" t="inlineStr">
        <is>
          <t>ÄLMHULT</t>
        </is>
      </c>
      <c r="I197" t="n">
        <v>2.1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60621-2021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44496</v>
      </c>
      <c r="E198" s="1" t="n">
        <v>46315</v>
      </c>
      <c r="F198" t="inlineStr">
        <is>
          <t>KRONOBERGS LÄN</t>
        </is>
      </c>
      <c r="G198" t="inlineStr">
        <is>
          <t>ÄLMHULT</t>
        </is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740-2022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44568</v>
      </c>
      <c r="E199" s="1" t="n">
        <v>46315</v>
      </c>
      <c r="F199" t="inlineStr">
        <is>
          <t>KRONOBERGS LÄN</t>
        </is>
      </c>
      <c r="G199" t="inlineStr">
        <is>
          <t>ÄLMHULT</t>
        </is>
      </c>
      <c r="I199" t="n">
        <v>1.1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15770-2025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45748</v>
      </c>
      <c r="E200" s="1" t="n">
        <v>46315</v>
      </c>
      <c r="F200" t="inlineStr">
        <is>
          <t>KRONOBERGS LÄN</t>
        </is>
      </c>
      <c r="G200" t="inlineStr">
        <is>
          <t>ÄLMHULT</t>
        </is>
      </c>
      <c r="I200" t="n">
        <v>3.4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9879-2025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45716</v>
      </c>
      <c r="E201" s="1" t="n">
        <v>46315</v>
      </c>
      <c r="F201" t="inlineStr">
        <is>
          <t>KRONOBERGS LÄN</t>
        </is>
      </c>
      <c r="G201" t="inlineStr">
        <is>
          <t>ÄLMHULT</t>
        </is>
      </c>
      <c r="H201" t="inlineStr">
        <is>
          <t>Sveaskog</t>
        </is>
      </c>
      <c r="I201" t="n">
        <v>0.6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41781-2023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45176</v>
      </c>
      <c r="E202" s="1" t="n">
        <v>46315</v>
      </c>
      <c r="F202" t="inlineStr">
        <is>
          <t>KRONOBERGS LÄN</t>
        </is>
      </c>
      <c r="G202" t="inlineStr">
        <is>
          <t>ÄLMHULT</t>
        </is>
      </c>
      <c r="I202" t="n">
        <v>1.3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44510-2025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45916</v>
      </c>
      <c r="E203" s="1" t="n">
        <v>46315</v>
      </c>
      <c r="F203" t="inlineStr">
        <is>
          <t>KRONOBERGS LÄN</t>
        </is>
      </c>
      <c r="G203" t="inlineStr">
        <is>
          <t>ÄLMHULT</t>
        </is>
      </c>
      <c r="I203" t="n">
        <v>5.3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33002-2022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44784</v>
      </c>
      <c r="E204" s="1" t="n">
        <v>46315</v>
      </c>
      <c r="F204" t="inlineStr">
        <is>
          <t>KRONOBERGS LÄN</t>
        </is>
      </c>
      <c r="G204" t="inlineStr">
        <is>
          <t>ÄLMHULT</t>
        </is>
      </c>
      <c r="H204" t="inlineStr">
        <is>
          <t>Kyrkan</t>
        </is>
      </c>
      <c r="I204" t="n">
        <v>1.6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44040-2025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45915</v>
      </c>
      <c r="E205" s="1" t="n">
        <v>46315</v>
      </c>
      <c r="F205" t="inlineStr">
        <is>
          <t>KRONOBERGS LÄN</t>
        </is>
      </c>
      <c r="G205" t="inlineStr">
        <is>
          <t>ÄLMHULT</t>
        </is>
      </c>
      <c r="H205" t="inlineStr">
        <is>
          <t>Sveaskog</t>
        </is>
      </c>
      <c r="I205" t="n">
        <v>1.5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7539-2024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45348</v>
      </c>
      <c r="E206" s="1" t="n">
        <v>46315</v>
      </c>
      <c r="F206" t="inlineStr">
        <is>
          <t>KRONOBERGS LÄN</t>
        </is>
      </c>
      <c r="G206" t="inlineStr">
        <is>
          <t>ÄLMHULT</t>
        </is>
      </c>
      <c r="I206" t="n">
        <v>1.1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44539-2025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45917</v>
      </c>
      <c r="E207" s="1" t="n">
        <v>46315</v>
      </c>
      <c r="F207" t="inlineStr">
        <is>
          <t>KRONOBERGS LÄN</t>
        </is>
      </c>
      <c r="G207" t="inlineStr">
        <is>
          <t>ÄLMHULT</t>
        </is>
      </c>
      <c r="H207" t="inlineStr">
        <is>
          <t>Sveaskog</t>
        </is>
      </c>
      <c r="I207" t="n">
        <v>2.6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44540-2025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45917</v>
      </c>
      <c r="E208" s="1" t="n">
        <v>46315</v>
      </c>
      <c r="F208" t="inlineStr">
        <is>
          <t>KRONOBERGS LÄN</t>
        </is>
      </c>
      <c r="G208" t="inlineStr">
        <is>
          <t>ÄLMHULT</t>
        </is>
      </c>
      <c r="H208" t="inlineStr">
        <is>
          <t>Sveaskog</t>
        </is>
      </c>
      <c r="I208" t="n">
        <v>3.3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44542-2025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45917</v>
      </c>
      <c r="E209" s="1" t="n">
        <v>46315</v>
      </c>
      <c r="F209" t="inlineStr">
        <is>
          <t>KRONOBERGS LÄN</t>
        </is>
      </c>
      <c r="G209" t="inlineStr">
        <is>
          <t>ÄLMHULT</t>
        </is>
      </c>
      <c r="H209" t="inlineStr">
        <is>
          <t>Sveaskog</t>
        </is>
      </c>
      <c r="I209" t="n">
        <v>1.5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56846-2023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45244</v>
      </c>
      <c r="E210" s="1" t="n">
        <v>46315</v>
      </c>
      <c r="F210" t="inlineStr">
        <is>
          <t>KRONOBERGS LÄN</t>
        </is>
      </c>
      <c r="G210" t="inlineStr">
        <is>
          <t>ÄLMHULT</t>
        </is>
      </c>
      <c r="I210" t="n">
        <v>1.9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13280-2025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45735</v>
      </c>
      <c r="E211" s="1" t="n">
        <v>46315</v>
      </c>
      <c r="F211" t="inlineStr">
        <is>
          <t>KRONOBERGS LÄN</t>
        </is>
      </c>
      <c r="G211" t="inlineStr">
        <is>
          <t>ÄLMHULT</t>
        </is>
      </c>
      <c r="I211" t="n">
        <v>5.4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13281-2025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45735</v>
      </c>
      <c r="E212" s="1" t="n">
        <v>46315</v>
      </c>
      <c r="F212" t="inlineStr">
        <is>
          <t>KRONOBERGS LÄN</t>
        </is>
      </c>
      <c r="G212" t="inlineStr">
        <is>
          <t>ÄLMHULT</t>
        </is>
      </c>
      <c r="I212" t="n">
        <v>0.7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63116-2023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45273</v>
      </c>
      <c r="E213" s="1" t="n">
        <v>46315</v>
      </c>
      <c r="F213" t="inlineStr">
        <is>
          <t>KRONOBERGS LÄN</t>
        </is>
      </c>
      <c r="G213" t="inlineStr">
        <is>
          <t>ÄLMHULT</t>
        </is>
      </c>
      <c r="I213" t="n">
        <v>1.1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63118-2023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45273</v>
      </c>
      <c r="E214" s="1" t="n">
        <v>46315</v>
      </c>
      <c r="F214" t="inlineStr">
        <is>
          <t>KRONOBERGS LÄN</t>
        </is>
      </c>
      <c r="G214" t="inlineStr">
        <is>
          <t>ÄLMHULT</t>
        </is>
      </c>
      <c r="I214" t="n">
        <v>0.5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50183-2022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44865</v>
      </c>
      <c r="E215" s="1" t="n">
        <v>46315</v>
      </c>
      <c r="F215" t="inlineStr">
        <is>
          <t>KRONOBERGS LÄN</t>
        </is>
      </c>
      <c r="G215" t="inlineStr">
        <is>
          <t>ÄLMHULT</t>
        </is>
      </c>
      <c r="I215" t="n">
        <v>1.5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47002-2025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45929</v>
      </c>
      <c r="E216" s="1" t="n">
        <v>46315</v>
      </c>
      <c r="F216" t="inlineStr">
        <is>
          <t>KRONOBERGS LÄN</t>
        </is>
      </c>
      <c r="G216" t="inlineStr">
        <is>
          <t>ÄLMHULT</t>
        </is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47510-2025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45930</v>
      </c>
      <c r="E217" s="1" t="n">
        <v>46315</v>
      </c>
      <c r="F217" t="inlineStr">
        <is>
          <t>KRONOBERGS LÄN</t>
        </is>
      </c>
      <c r="G217" t="inlineStr">
        <is>
          <t>ÄLMHULT</t>
        </is>
      </c>
      <c r="I217" t="n">
        <v>0.4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47511-2025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45930</v>
      </c>
      <c r="E218" s="1" t="n">
        <v>46315</v>
      </c>
      <c r="F218" t="inlineStr">
        <is>
          <t>KRONOBERGS LÄN</t>
        </is>
      </c>
      <c r="G218" t="inlineStr">
        <is>
          <t>ÄLMHULT</t>
        </is>
      </c>
      <c r="I218" t="n">
        <v>0.4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24029-2023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45078</v>
      </c>
      <c r="E219" s="1" t="n">
        <v>46315</v>
      </c>
      <c r="F219" t="inlineStr">
        <is>
          <t>KRONOBERGS LÄN</t>
        </is>
      </c>
      <c r="G219" t="inlineStr">
        <is>
          <t>ÄLMHULT</t>
        </is>
      </c>
      <c r="I219" t="n">
        <v>1.1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30963-2023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45113</v>
      </c>
      <c r="E220" s="1" t="n">
        <v>46315</v>
      </c>
      <c r="F220" t="inlineStr">
        <is>
          <t>KRONOBERGS LÄN</t>
        </is>
      </c>
      <c r="G220" t="inlineStr">
        <is>
          <t>ÄLMHULT</t>
        </is>
      </c>
      <c r="I220" t="n">
        <v>1.3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20617-2026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46140</v>
      </c>
      <c r="E221" s="1" t="n">
        <v>46315</v>
      </c>
      <c r="F221" t="inlineStr">
        <is>
          <t>KRONOBERGS LÄN</t>
        </is>
      </c>
      <c r="G221" t="inlineStr">
        <is>
          <t>ÄLMHULT</t>
        </is>
      </c>
      <c r="H221" t="inlineStr">
        <is>
          <t>Sveaskog</t>
        </is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42489-2023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45180</v>
      </c>
      <c r="E222" s="1" t="n">
        <v>46315</v>
      </c>
      <c r="F222" t="inlineStr">
        <is>
          <t>KRONOBERGS LÄN</t>
        </is>
      </c>
      <c r="G222" t="inlineStr">
        <is>
          <t>ÄLMHULT</t>
        </is>
      </c>
      <c r="I222" t="n">
        <v>1.6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46740-2024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45583</v>
      </c>
      <c r="E223" s="1" t="n">
        <v>46315</v>
      </c>
      <c r="F223" t="inlineStr">
        <is>
          <t>KRONOBERGS LÄN</t>
        </is>
      </c>
      <c r="G223" t="inlineStr">
        <is>
          <t>ÄLMHULT</t>
        </is>
      </c>
      <c r="I223" t="n">
        <v>1.8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68552-2021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44529</v>
      </c>
      <c r="E224" s="1" t="n">
        <v>46315</v>
      </c>
      <c r="F224" t="inlineStr">
        <is>
          <t>KRONOBERGS LÄN</t>
        </is>
      </c>
      <c r="G224" t="inlineStr">
        <is>
          <t>ÄLMHULT</t>
        </is>
      </c>
      <c r="I224" t="n">
        <v>1.3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25711-2023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45090</v>
      </c>
      <c r="E225" s="1" t="n">
        <v>46315</v>
      </c>
      <c r="F225" t="inlineStr">
        <is>
          <t>KRONOBERGS LÄN</t>
        </is>
      </c>
      <c r="G225" t="inlineStr">
        <is>
          <t>ÄLMHULT</t>
        </is>
      </c>
      <c r="I225" t="n">
        <v>0.6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33840-2023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45133</v>
      </c>
      <c r="E226" s="1" t="n">
        <v>46315</v>
      </c>
      <c r="F226" t="inlineStr">
        <is>
          <t>KRONOBERGS LÄN</t>
        </is>
      </c>
      <c r="G226" t="inlineStr">
        <is>
          <t>ÄLMHULT</t>
        </is>
      </c>
      <c r="I226" t="n">
        <v>0.7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54500-2022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44882</v>
      </c>
      <c r="E227" s="1" t="n">
        <v>46315</v>
      </c>
      <c r="F227" t="inlineStr">
        <is>
          <t>KRONOBERGS LÄN</t>
        </is>
      </c>
      <c r="G227" t="inlineStr">
        <is>
          <t>ÄLMHULT</t>
        </is>
      </c>
      <c r="I227" t="n">
        <v>7.4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25918-2024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45467</v>
      </c>
      <c r="E228" s="1" t="n">
        <v>46315</v>
      </c>
      <c r="F228" t="inlineStr">
        <is>
          <t>KRONOBERGS LÄN</t>
        </is>
      </c>
      <c r="G228" t="inlineStr">
        <is>
          <t>ÄLMHULT</t>
        </is>
      </c>
      <c r="I228" t="n">
        <v>3.6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50344-2025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45944</v>
      </c>
      <c r="E229" s="1" t="n">
        <v>46315</v>
      </c>
      <c r="F229" t="inlineStr">
        <is>
          <t>KRONOBERGS LÄN</t>
        </is>
      </c>
      <c r="G229" t="inlineStr">
        <is>
          <t>ÄLMHULT</t>
        </is>
      </c>
      <c r="I229" t="n">
        <v>4.7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59099-2022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44897</v>
      </c>
      <c r="E230" s="1" t="n">
        <v>46315</v>
      </c>
      <c r="F230" t="inlineStr">
        <is>
          <t>KRONOBERGS LÄN</t>
        </is>
      </c>
      <c r="G230" t="inlineStr">
        <is>
          <t>ÄLMHULT</t>
        </is>
      </c>
      <c r="I230" t="n">
        <v>4.3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50481-2025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45945</v>
      </c>
      <c r="E231" s="1" t="n">
        <v>46315</v>
      </c>
      <c r="F231" t="inlineStr">
        <is>
          <t>KRONOBERGS LÄN</t>
        </is>
      </c>
      <c r="G231" t="inlineStr">
        <is>
          <t>ÄLMHULT</t>
        </is>
      </c>
      <c r="I231" t="n">
        <v>3.3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48282-2022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44858</v>
      </c>
      <c r="E232" s="1" t="n">
        <v>46315</v>
      </c>
      <c r="F232" t="inlineStr">
        <is>
          <t>KRONOBERGS LÄN</t>
        </is>
      </c>
      <c r="G232" t="inlineStr">
        <is>
          <t>ÄLMHULT</t>
        </is>
      </c>
      <c r="I232" t="n">
        <v>14.2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51190-2025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45947</v>
      </c>
      <c r="E233" s="1" t="n">
        <v>46315</v>
      </c>
      <c r="F233" t="inlineStr">
        <is>
          <t>KRONOBERGS LÄN</t>
        </is>
      </c>
      <c r="G233" t="inlineStr">
        <is>
          <t>ÄLMHULT</t>
        </is>
      </c>
      <c r="I233" t="n">
        <v>1.8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44480-2025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45916</v>
      </c>
      <c r="E234" s="1" t="n">
        <v>46315</v>
      </c>
      <c r="F234" t="inlineStr">
        <is>
          <t>KRONOBERGS LÄN</t>
        </is>
      </c>
      <c r="G234" t="inlineStr">
        <is>
          <t>ÄLMHULT</t>
        </is>
      </c>
      <c r="H234" t="inlineStr">
        <is>
          <t>Sveaskog</t>
        </is>
      </c>
      <c r="I234" t="n">
        <v>3.3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21384-2026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46147</v>
      </c>
      <c r="E235" s="1" t="n">
        <v>46315</v>
      </c>
      <c r="F235" t="inlineStr">
        <is>
          <t>KRONOBERGS LÄN</t>
        </is>
      </c>
      <c r="G235" t="inlineStr">
        <is>
          <t>ÄLMHULT</t>
        </is>
      </c>
      <c r="I235" t="n">
        <v>3.6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51852-2025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45952</v>
      </c>
      <c r="E236" s="1" t="n">
        <v>46315</v>
      </c>
      <c r="F236" t="inlineStr">
        <is>
          <t>KRONOBERGS LÄN</t>
        </is>
      </c>
      <c r="G236" t="inlineStr">
        <is>
          <t>ÄLMHULT</t>
        </is>
      </c>
      <c r="I236" t="n">
        <v>0.6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11787-2024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45374</v>
      </c>
      <c r="E237" s="1" t="n">
        <v>46315</v>
      </c>
      <c r="F237" t="inlineStr">
        <is>
          <t>KRONOBERGS LÄN</t>
        </is>
      </c>
      <c r="G237" t="inlineStr">
        <is>
          <t>ÄLMHULT</t>
        </is>
      </c>
      <c r="I237" t="n">
        <v>2.3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19818-2024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45433</v>
      </c>
      <c r="E238" s="1" t="n">
        <v>46315</v>
      </c>
      <c r="F238" t="inlineStr">
        <is>
          <t>KRONOBERGS LÄN</t>
        </is>
      </c>
      <c r="G238" t="inlineStr">
        <is>
          <t>ÄLMHULT</t>
        </is>
      </c>
      <c r="I238" t="n">
        <v>0.7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59114-2022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44897</v>
      </c>
      <c r="E239" s="1" t="n">
        <v>46315</v>
      </c>
      <c r="F239" t="inlineStr">
        <is>
          <t>KRONOBERGS LÄN</t>
        </is>
      </c>
      <c r="G239" t="inlineStr">
        <is>
          <t>ÄLMHULT</t>
        </is>
      </c>
      <c r="I239" t="n">
        <v>2.8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13680-2025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45737</v>
      </c>
      <c r="E240" s="1" t="n">
        <v>46315</v>
      </c>
      <c r="F240" t="inlineStr">
        <is>
          <t>KRONOBERGS LÄN</t>
        </is>
      </c>
      <c r="G240" t="inlineStr">
        <is>
          <t>ÄLMHULT</t>
        </is>
      </c>
      <c r="I240" t="n">
        <v>2.8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2238-2023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44942</v>
      </c>
      <c r="E241" s="1" t="n">
        <v>46315</v>
      </c>
      <c r="F241" t="inlineStr">
        <is>
          <t>KRONOBERGS LÄN</t>
        </is>
      </c>
      <c r="G241" t="inlineStr">
        <is>
          <t>ÄLMHULT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28694-2023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45103</v>
      </c>
      <c r="E242" s="1" t="n">
        <v>46315</v>
      </c>
      <c r="F242" t="inlineStr">
        <is>
          <t>KRONOBERGS LÄN</t>
        </is>
      </c>
      <c r="G242" t="inlineStr">
        <is>
          <t>ÄLMHULT</t>
        </is>
      </c>
      <c r="I242" t="n">
        <v>1.2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20747-2026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46141</v>
      </c>
      <c r="E243" s="1" t="n">
        <v>46315</v>
      </c>
      <c r="F243" t="inlineStr">
        <is>
          <t>KRONOBERGS LÄN</t>
        </is>
      </c>
      <c r="G243" t="inlineStr">
        <is>
          <t>ÄLMHULT</t>
        </is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58490-2023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45251</v>
      </c>
      <c r="E244" s="1" t="n">
        <v>46315</v>
      </c>
      <c r="F244" t="inlineStr">
        <is>
          <t>KRONOBERGS LÄN</t>
        </is>
      </c>
      <c r="G244" t="inlineStr">
        <is>
          <t>ÄLMHULT</t>
        </is>
      </c>
      <c r="I244" t="n">
        <v>7.1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58496-2023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45251</v>
      </c>
      <c r="E245" s="1" t="n">
        <v>46315</v>
      </c>
      <c r="F245" t="inlineStr">
        <is>
          <t>KRONOBERGS LÄN</t>
        </is>
      </c>
      <c r="G245" t="inlineStr">
        <is>
          <t>ÄLMHULT</t>
        </is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19295-2023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45049</v>
      </c>
      <c r="E246" s="1" t="n">
        <v>46315</v>
      </c>
      <c r="F246" t="inlineStr">
        <is>
          <t>KRONOBERGS LÄN</t>
        </is>
      </c>
      <c r="G246" t="inlineStr">
        <is>
          <t>ÄLMHULT</t>
        </is>
      </c>
      <c r="I246" t="n">
        <v>0.5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53378-2025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45959</v>
      </c>
      <c r="E247" s="1" t="n">
        <v>46315</v>
      </c>
      <c r="F247" t="inlineStr">
        <is>
          <t>KRONOBERGS LÄN</t>
        </is>
      </c>
      <c r="G247" t="inlineStr">
        <is>
          <t>ÄLMHULT</t>
        </is>
      </c>
      <c r="I247" t="n">
        <v>0.7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63569-2021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44508</v>
      </c>
      <c r="E248" s="1" t="n">
        <v>46315</v>
      </c>
      <c r="F248" t="inlineStr">
        <is>
          <t>KRONOBERGS LÄN</t>
        </is>
      </c>
      <c r="G248" t="inlineStr">
        <is>
          <t>ÄLMHULT</t>
        </is>
      </c>
      <c r="I248" t="n">
        <v>4.4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42871-2024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45566</v>
      </c>
      <c r="E249" s="1" t="n">
        <v>46315</v>
      </c>
      <c r="F249" t="inlineStr">
        <is>
          <t>KRONOBERGS LÄN</t>
        </is>
      </c>
      <c r="G249" t="inlineStr">
        <is>
          <t>ÄLMHULT</t>
        </is>
      </c>
      <c r="I249" t="n">
        <v>1.5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54801-2025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45966</v>
      </c>
      <c r="E250" s="1" t="n">
        <v>46315</v>
      </c>
      <c r="F250" t="inlineStr">
        <is>
          <t>KRONOBERGS LÄN</t>
        </is>
      </c>
      <c r="G250" t="inlineStr">
        <is>
          <t>ÄLMHULT</t>
        </is>
      </c>
      <c r="I250" t="n">
        <v>2.2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12893-2023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45001</v>
      </c>
      <c r="E251" s="1" t="n">
        <v>46315</v>
      </c>
      <c r="F251" t="inlineStr">
        <is>
          <t>KRONOBERGS LÄN</t>
        </is>
      </c>
      <c r="G251" t="inlineStr">
        <is>
          <t>ÄLMHULT</t>
        </is>
      </c>
      <c r="I251" t="n">
        <v>4.3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22530-2026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46155</v>
      </c>
      <c r="E252" s="1" t="n">
        <v>46315</v>
      </c>
      <c r="F252" t="inlineStr">
        <is>
          <t>KRONOBERGS LÄN</t>
        </is>
      </c>
      <c r="G252" t="inlineStr">
        <is>
          <t>ÄLMHULT</t>
        </is>
      </c>
      <c r="I252" t="n">
        <v>1.6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54824-2025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45966</v>
      </c>
      <c r="E253" s="1" t="n">
        <v>46315</v>
      </c>
      <c r="F253" t="inlineStr">
        <is>
          <t>KRONOBERGS LÄN</t>
        </is>
      </c>
      <c r="G253" t="inlineStr">
        <is>
          <t>ÄLMHULT</t>
        </is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8265-2024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45352</v>
      </c>
      <c r="E254" s="1" t="n">
        <v>46315</v>
      </c>
      <c r="F254" t="inlineStr">
        <is>
          <t>KRONOBERGS LÄN</t>
        </is>
      </c>
      <c r="G254" t="inlineStr">
        <is>
          <t>ÄLMHULT</t>
        </is>
      </c>
      <c r="H254" t="inlineStr">
        <is>
          <t>Sveaskog</t>
        </is>
      </c>
      <c r="I254" t="n">
        <v>0.4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54694-2025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45966</v>
      </c>
      <c r="E255" s="1" t="n">
        <v>46315</v>
      </c>
      <c r="F255" t="inlineStr">
        <is>
          <t>KRONOBERGS LÄN</t>
        </is>
      </c>
      <c r="G255" t="inlineStr">
        <is>
          <t>ÄLMHULT</t>
        </is>
      </c>
      <c r="I255" t="n">
        <v>6.1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54917-2025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45967</v>
      </c>
      <c r="E256" s="1" t="n">
        <v>46315</v>
      </c>
      <c r="F256" t="inlineStr">
        <is>
          <t>KRONOBERGS LÄN</t>
        </is>
      </c>
      <c r="G256" t="inlineStr">
        <is>
          <t>ÄLMHULT</t>
        </is>
      </c>
      <c r="I256" t="n">
        <v>2.7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976-2023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44935</v>
      </c>
      <c r="E257" s="1" t="n">
        <v>46315</v>
      </c>
      <c r="F257" t="inlineStr">
        <is>
          <t>KRONOBERGS LÄN</t>
        </is>
      </c>
      <c r="G257" t="inlineStr">
        <is>
          <t>ÄLMHULT</t>
        </is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55290-2025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45969</v>
      </c>
      <c r="E258" s="1" t="n">
        <v>46315</v>
      </c>
      <c r="F258" t="inlineStr">
        <is>
          <t>KRONOBERGS LÄN</t>
        </is>
      </c>
      <c r="G258" t="inlineStr">
        <is>
          <t>ÄLMHULT</t>
        </is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55291-2025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45969</v>
      </c>
      <c r="E259" s="1" t="n">
        <v>46315</v>
      </c>
      <c r="F259" t="inlineStr">
        <is>
          <t>KRONOBERGS LÄN</t>
        </is>
      </c>
      <c r="G259" t="inlineStr">
        <is>
          <t>ÄLMHULT</t>
        </is>
      </c>
      <c r="I259" t="n">
        <v>0.4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11222-2023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44992</v>
      </c>
      <c r="E260" s="1" t="n">
        <v>46315</v>
      </c>
      <c r="F260" t="inlineStr">
        <is>
          <t>KRONOBERGS LÄN</t>
        </is>
      </c>
      <c r="G260" t="inlineStr">
        <is>
          <t>ÄLMHULT</t>
        </is>
      </c>
      <c r="I260" t="n">
        <v>1.1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8255-2024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45352</v>
      </c>
      <c r="E261" s="1" t="n">
        <v>46315</v>
      </c>
      <c r="F261" t="inlineStr">
        <is>
          <t>KRONOBERGS LÄN</t>
        </is>
      </c>
      <c r="G261" t="inlineStr">
        <is>
          <t>ÄLMHULT</t>
        </is>
      </c>
      <c r="H261" t="inlineStr">
        <is>
          <t>Sveaskog</t>
        </is>
      </c>
      <c r="I261" t="n">
        <v>0.6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10272-2026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46076</v>
      </c>
      <c r="E262" s="1" t="n">
        <v>46315</v>
      </c>
      <c r="F262" t="inlineStr">
        <is>
          <t>KRONOBERGS LÄN</t>
        </is>
      </c>
      <c r="G262" t="inlineStr">
        <is>
          <t>ÄLMHULT</t>
        </is>
      </c>
      <c r="I262" t="n">
        <v>2.9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26386-2023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45092</v>
      </c>
      <c r="E263" s="1" t="n">
        <v>46315</v>
      </c>
      <c r="F263" t="inlineStr">
        <is>
          <t>KRONOBERGS LÄN</t>
        </is>
      </c>
      <c r="G263" t="inlineStr">
        <is>
          <t>ÄLMHULT</t>
        </is>
      </c>
      <c r="I263" t="n">
        <v>0.5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13606-2023</t>
        </is>
      </c>
      <c r="B264" t="inlineStr">
        <is>
          <t>avverkningsanmälan</t>
        </is>
      </c>
      <c r="C264" t="inlineStr">
        <is>
          <t>Avverkning för annat ändamål</t>
        </is>
      </c>
      <c r="D264" s="1" t="n">
        <v>45006</v>
      </c>
      <c r="E264" s="1" t="n">
        <v>46315</v>
      </c>
      <c r="F264" t="inlineStr">
        <is>
          <t>KRONOBERGS LÄN</t>
        </is>
      </c>
      <c r="G264" t="inlineStr">
        <is>
          <t>ÄLMHULT</t>
        </is>
      </c>
      <c r="H264" t="inlineStr">
        <is>
          <t>Kommuner</t>
        </is>
      </c>
      <c r="I264" t="n">
        <v>4.6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26454-2023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45092</v>
      </c>
      <c r="E265" s="1" t="n">
        <v>46315</v>
      </c>
      <c r="F265" t="inlineStr">
        <is>
          <t>KRONOBERGS LÄN</t>
        </is>
      </c>
      <c r="G265" t="inlineStr">
        <is>
          <t>ÄLMHULT</t>
        </is>
      </c>
      <c r="I265" t="n">
        <v>4.2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39380-2023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45166</v>
      </c>
      <c r="E266" s="1" t="n">
        <v>46315</v>
      </c>
      <c r="F266" t="inlineStr">
        <is>
          <t>KRONOBERGS LÄN</t>
        </is>
      </c>
      <c r="G266" t="inlineStr">
        <is>
          <t>ÄLMHULT</t>
        </is>
      </c>
      <c r="I266" t="n">
        <v>1.2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11938-2024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45376</v>
      </c>
      <c r="E267" s="1" t="n">
        <v>46315</v>
      </c>
      <c r="F267" t="inlineStr">
        <is>
          <t>KRONOBERGS LÄN</t>
        </is>
      </c>
      <c r="G267" t="inlineStr">
        <is>
          <t>ÄLMHULT</t>
        </is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2252-2023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44942</v>
      </c>
      <c r="E268" s="1" t="n">
        <v>46315</v>
      </c>
      <c r="F268" t="inlineStr">
        <is>
          <t>KRONOBERGS LÄN</t>
        </is>
      </c>
      <c r="G268" t="inlineStr">
        <is>
          <t>ÄLMHULT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14890-2023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45015</v>
      </c>
      <c r="E269" s="1" t="n">
        <v>46315</v>
      </c>
      <c r="F269" t="inlineStr">
        <is>
          <t>KRONOBERGS LÄN</t>
        </is>
      </c>
      <c r="G269" t="inlineStr">
        <is>
          <t>ÄLMHULT</t>
        </is>
      </c>
      <c r="I269" t="n">
        <v>1.9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71802-2021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44543</v>
      </c>
      <c r="E270" s="1" t="n">
        <v>46315</v>
      </c>
      <c r="F270" t="inlineStr">
        <is>
          <t>KRONOBERGS LÄN</t>
        </is>
      </c>
      <c r="G270" t="inlineStr">
        <is>
          <t>ÄLMHULT</t>
        </is>
      </c>
      <c r="I270" t="n">
        <v>0.9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37015-2023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45155</v>
      </c>
      <c r="E271" s="1" t="n">
        <v>46315</v>
      </c>
      <c r="F271" t="inlineStr">
        <is>
          <t>KRONOBERGS LÄN</t>
        </is>
      </c>
      <c r="G271" t="inlineStr">
        <is>
          <t>ÄLMHULT</t>
        </is>
      </c>
      <c r="I271" t="n">
        <v>0.6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23104-2024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45450</v>
      </c>
      <c r="E272" s="1" t="n">
        <v>46315</v>
      </c>
      <c r="F272" t="inlineStr">
        <is>
          <t>KRONOBERGS LÄN</t>
        </is>
      </c>
      <c r="G272" t="inlineStr">
        <is>
          <t>ÄLMHULT</t>
        </is>
      </c>
      <c r="I272" t="n">
        <v>0.5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67257-2021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44523</v>
      </c>
      <c r="E273" s="1" t="n">
        <v>46315</v>
      </c>
      <c r="F273" t="inlineStr">
        <is>
          <t>KRONOBERGS LÄN</t>
        </is>
      </c>
      <c r="G273" t="inlineStr">
        <is>
          <t>ÄLMHULT</t>
        </is>
      </c>
      <c r="I273" t="n">
        <v>6.7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58883-2025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45986</v>
      </c>
      <c r="E274" s="1" t="n">
        <v>46315</v>
      </c>
      <c r="F274" t="inlineStr">
        <is>
          <t>KRONOBERGS LÄN</t>
        </is>
      </c>
      <c r="G274" t="inlineStr">
        <is>
          <t>ÄLMHULT</t>
        </is>
      </c>
      <c r="H274" t="inlineStr">
        <is>
          <t>Kyrkan</t>
        </is>
      </c>
      <c r="I274" t="n">
        <v>0.6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28177-2025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45818</v>
      </c>
      <c r="E275" s="1" t="n">
        <v>46315</v>
      </c>
      <c r="F275" t="inlineStr">
        <is>
          <t>KRONOBERGS LÄN</t>
        </is>
      </c>
      <c r="G275" t="inlineStr">
        <is>
          <t>ÄLMHULT</t>
        </is>
      </c>
      <c r="I275" t="n">
        <v>1.5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47281-2024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45586</v>
      </c>
      <c r="E276" s="1" t="n">
        <v>46315</v>
      </c>
      <c r="F276" t="inlineStr">
        <is>
          <t>KRONOBERGS LÄN</t>
        </is>
      </c>
      <c r="G276" t="inlineStr">
        <is>
          <t>ÄLMHULT</t>
        </is>
      </c>
      <c r="I276" t="n">
        <v>0.4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53661-2024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45615</v>
      </c>
      <c r="E277" s="1" t="n">
        <v>46315</v>
      </c>
      <c r="F277" t="inlineStr">
        <is>
          <t>KRONOBERGS LÄN</t>
        </is>
      </c>
      <c r="G277" t="inlineStr">
        <is>
          <t>ÄLMHULT</t>
        </is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5135-2023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44958</v>
      </c>
      <c r="E278" s="1" t="n">
        <v>46315</v>
      </c>
      <c r="F278" t="inlineStr">
        <is>
          <t>KRONOBERGS LÄN</t>
        </is>
      </c>
      <c r="G278" t="inlineStr">
        <is>
          <t>ÄLMHULT</t>
        </is>
      </c>
      <c r="I278" t="n">
        <v>1.5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59793-2025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45992</v>
      </c>
      <c r="E279" s="1" t="n">
        <v>46315</v>
      </c>
      <c r="F279" t="inlineStr">
        <is>
          <t>KRONOBERGS LÄN</t>
        </is>
      </c>
      <c r="G279" t="inlineStr">
        <is>
          <t>ÄLMHULT</t>
        </is>
      </c>
      <c r="H279" t="inlineStr">
        <is>
          <t>Sveaskog</t>
        </is>
      </c>
      <c r="I279" t="n">
        <v>2.3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27756-2023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45098</v>
      </c>
      <c r="E280" s="1" t="n">
        <v>46315</v>
      </c>
      <c r="F280" t="inlineStr">
        <is>
          <t>KRONOBERGS LÄN</t>
        </is>
      </c>
      <c r="G280" t="inlineStr">
        <is>
          <t>ÄLMHULT</t>
        </is>
      </c>
      <c r="I280" t="n">
        <v>1.6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  <c r="Z280">
        <f>HYPERLINK("https://klasma.github.io/Logging_0765/knärot/A 27756-2023 karta knärot.png", "A 27756-2023")</f>
        <v/>
      </c>
      <c r="AA280">
        <f>HYPERLINK("https://klasma.github.io/Logging_0765/klagomål/A 27756-2023 FSC-klagomål.docx", "A 27756-2023")</f>
        <v/>
      </c>
      <c r="AB280">
        <f>HYPERLINK("https://klasma.github.io/Logging_0765/klagomålsmail/A 27756-2023 FSC-klagomål mail.docx", "A 27756-2023")</f>
        <v/>
      </c>
      <c r="AC280">
        <f>HYPERLINK("https://klasma.github.io/Logging_0765/tillsyn/A 27756-2023 tillsynsbegäran.docx", "A 27756-2023")</f>
        <v/>
      </c>
      <c r="AD280">
        <f>HYPERLINK("https://klasma.github.io/Logging_0765/tillsynsmail/A 27756-2023 tillsynsbegäran mail.docx", "A 27756-2023")</f>
        <v/>
      </c>
    </row>
    <row r="281" ht="15" customHeight="1">
      <c r="A281" t="inlineStr">
        <is>
          <t>A 59803-2025</t>
        </is>
      </c>
      <c r="B281" t="inlineStr">
        <is>
          <t>avverkningsanmälan</t>
        </is>
      </c>
      <c r="C281" t="inlineStr">
        <is>
          <t>Avverkning för att bevara och utveckla /försöksver</t>
        </is>
      </c>
      <c r="D281" s="1" t="n">
        <v>45992</v>
      </c>
      <c r="E281" s="1" t="n">
        <v>46315</v>
      </c>
      <c r="F281" t="inlineStr">
        <is>
          <t>KRONOBERGS LÄN</t>
        </is>
      </c>
      <c r="G281" t="inlineStr">
        <is>
          <t>ÄLMHULT</t>
        </is>
      </c>
      <c r="H281" t="inlineStr">
        <is>
          <t>Sveaskog</t>
        </is>
      </c>
      <c r="I281" t="n">
        <v>0.4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59780-2025</t>
        </is>
      </c>
      <c r="B282" t="inlineStr">
        <is>
          <t>avverkningsanmälan</t>
        </is>
      </c>
      <c r="C282" t="inlineStr">
        <is>
          <t>Avverkning för att bevara och utveckla /försöksver</t>
        </is>
      </c>
      <c r="D282" s="1" t="n">
        <v>45992</v>
      </c>
      <c r="E282" s="1" t="n">
        <v>46315</v>
      </c>
      <c r="F282" t="inlineStr">
        <is>
          <t>KRONOBERGS LÄN</t>
        </is>
      </c>
      <c r="G282" t="inlineStr">
        <is>
          <t>ÄLMHULT</t>
        </is>
      </c>
      <c r="H282" t="inlineStr">
        <is>
          <t>Sveaskog</t>
        </is>
      </c>
      <c r="I282" t="n">
        <v>0.6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59771-2025</t>
        </is>
      </c>
      <c r="B283" t="inlineStr">
        <is>
          <t>avverkningsanmälan</t>
        </is>
      </c>
      <c r="C283" t="inlineStr">
        <is>
          <t>Avverkning för att bevara och utveckla /försöksver</t>
        </is>
      </c>
      <c r="D283" s="1" t="n">
        <v>45992</v>
      </c>
      <c r="E283" s="1" t="n">
        <v>46315</v>
      </c>
      <c r="F283" t="inlineStr">
        <is>
          <t>KRONOBERGS LÄN</t>
        </is>
      </c>
      <c r="G283" t="inlineStr">
        <is>
          <t>ÄLMHULT</t>
        </is>
      </c>
      <c r="H283" t="inlineStr">
        <is>
          <t>Sveaskog</t>
        </is>
      </c>
      <c r="I283" t="n">
        <v>0.7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52171-2024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45608</v>
      </c>
      <c r="E284" s="1" t="n">
        <v>46315</v>
      </c>
      <c r="F284" t="inlineStr">
        <is>
          <t>KRONOBERGS LÄN</t>
        </is>
      </c>
      <c r="G284" t="inlineStr">
        <is>
          <t>ÄLMHULT</t>
        </is>
      </c>
      <c r="I284" t="n">
        <v>1.8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12093-2025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45728</v>
      </c>
      <c r="E285" s="1" t="n">
        <v>46315</v>
      </c>
      <c r="F285" t="inlineStr">
        <is>
          <t>KRONOBERGS LÄN</t>
        </is>
      </c>
      <c r="G285" t="inlineStr">
        <is>
          <t>ÄLMHULT</t>
        </is>
      </c>
      <c r="I285" t="n">
        <v>2.1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61418-2025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46000</v>
      </c>
      <c r="E286" s="1" t="n">
        <v>46315</v>
      </c>
      <c r="F286" t="inlineStr">
        <is>
          <t>KRONOBERGS LÄN</t>
        </is>
      </c>
      <c r="G286" t="inlineStr">
        <is>
          <t>ÄLMHULT</t>
        </is>
      </c>
      <c r="H286" t="inlineStr">
        <is>
          <t>Kommuner</t>
        </is>
      </c>
      <c r="I286" t="n">
        <v>0.6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37297-2023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45156</v>
      </c>
      <c r="E287" s="1" t="n">
        <v>46315</v>
      </c>
      <c r="F287" t="inlineStr">
        <is>
          <t>KRONOBERGS LÄN</t>
        </is>
      </c>
      <c r="G287" t="inlineStr">
        <is>
          <t>ÄLMHULT</t>
        </is>
      </c>
      <c r="I287" t="n">
        <v>0.9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40909-2024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45558</v>
      </c>
      <c r="E288" s="1" t="n">
        <v>46315</v>
      </c>
      <c r="F288" t="inlineStr">
        <is>
          <t>KRONOBERGS LÄN</t>
        </is>
      </c>
      <c r="G288" t="inlineStr">
        <is>
          <t>ÄLMHULT</t>
        </is>
      </c>
      <c r="I288" t="n">
        <v>1.8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37064-2024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45539</v>
      </c>
      <c r="E289" s="1" t="n">
        <v>46315</v>
      </c>
      <c r="F289" t="inlineStr">
        <is>
          <t>KRONOBERGS LÄN</t>
        </is>
      </c>
      <c r="G289" t="inlineStr">
        <is>
          <t>ÄLMHULT</t>
        </is>
      </c>
      <c r="I289" t="n">
        <v>0.5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33844-2023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45133</v>
      </c>
      <c r="E290" s="1" t="n">
        <v>46315</v>
      </c>
      <c r="F290" t="inlineStr">
        <is>
          <t>KRONOBERGS LÄN</t>
        </is>
      </c>
      <c r="G290" t="inlineStr">
        <is>
          <t>ÄLMHULT</t>
        </is>
      </c>
      <c r="I290" t="n">
        <v>0.6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62038-2025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46005</v>
      </c>
      <c r="E291" s="1" t="n">
        <v>46315</v>
      </c>
      <c r="F291" t="inlineStr">
        <is>
          <t>KRONOBERGS LÄN</t>
        </is>
      </c>
      <c r="G291" t="inlineStr">
        <is>
          <t>ÄLMHULT</t>
        </is>
      </c>
      <c r="I291" t="n">
        <v>1.4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8490-2024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45355</v>
      </c>
      <c r="E292" s="1" t="n">
        <v>46315</v>
      </c>
      <c r="F292" t="inlineStr">
        <is>
          <t>KRONOBERGS LÄN</t>
        </is>
      </c>
      <c r="G292" t="inlineStr">
        <is>
          <t>ÄLMHULT</t>
        </is>
      </c>
      <c r="I292" t="n">
        <v>0.4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8492-2024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45355</v>
      </c>
      <c r="E293" s="1" t="n">
        <v>46315</v>
      </c>
      <c r="F293" t="inlineStr">
        <is>
          <t>KRONOBERGS LÄN</t>
        </is>
      </c>
      <c r="G293" t="inlineStr">
        <is>
          <t>ÄLMHULT</t>
        </is>
      </c>
      <c r="H293" t="inlineStr">
        <is>
          <t>Sveaskog</t>
        </is>
      </c>
      <c r="I293" t="n">
        <v>0.6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8949-2023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44979</v>
      </c>
      <c r="E294" s="1" t="n">
        <v>46315</v>
      </c>
      <c r="F294" t="inlineStr">
        <is>
          <t>KRONOBERGS LÄN</t>
        </is>
      </c>
      <c r="G294" t="inlineStr">
        <is>
          <t>ÄLMHULT</t>
        </is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44672-2023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45189</v>
      </c>
      <c r="E295" s="1" t="n">
        <v>46315</v>
      </c>
      <c r="F295" t="inlineStr">
        <is>
          <t>KRONOBERGS LÄN</t>
        </is>
      </c>
      <c r="G295" t="inlineStr">
        <is>
          <t>ÄLMHULT</t>
        </is>
      </c>
      <c r="I295" t="n">
        <v>1.9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14283-2023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45010</v>
      </c>
      <c r="E296" s="1" t="n">
        <v>46315</v>
      </c>
      <c r="F296" t="inlineStr">
        <is>
          <t>KRONOBERGS LÄN</t>
        </is>
      </c>
      <c r="G296" t="inlineStr">
        <is>
          <t>ÄLMHULT</t>
        </is>
      </c>
      <c r="I296" t="n">
        <v>0.9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37067-2024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45539</v>
      </c>
      <c r="E297" s="1" t="n">
        <v>46315</v>
      </c>
      <c r="F297" t="inlineStr">
        <is>
          <t>KRONOBERGS LÄN</t>
        </is>
      </c>
      <c r="G297" t="inlineStr">
        <is>
          <t>ÄLMHULT</t>
        </is>
      </c>
      <c r="I297" t="n">
        <v>0.5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27334-2025</t>
        </is>
      </c>
      <c r="B298" t="inlineStr">
        <is>
          <t>avverkningsanmälan</t>
        </is>
      </c>
      <c r="C298" t="inlineStr">
        <is>
          <t>Avverkning för annat ändamål</t>
        </is>
      </c>
      <c r="D298" s="1" t="n">
        <v>45812</v>
      </c>
      <c r="E298" s="1" t="n">
        <v>46315</v>
      </c>
      <c r="F298" t="inlineStr">
        <is>
          <t>KRONOBERGS LÄN</t>
        </is>
      </c>
      <c r="G298" t="inlineStr">
        <is>
          <t>ÄLMHULT</t>
        </is>
      </c>
      <c r="I298" t="n">
        <v>1.5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50805-2025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45946</v>
      </c>
      <c r="E299" s="1" t="n">
        <v>46315</v>
      </c>
      <c r="F299" t="inlineStr">
        <is>
          <t>KRONOBERGS LÄN</t>
        </is>
      </c>
      <c r="G299" t="inlineStr">
        <is>
          <t>ÄLMHULT</t>
        </is>
      </c>
      <c r="I299" t="n">
        <v>1.8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8495-2024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45355</v>
      </c>
      <c r="E300" s="1" t="n">
        <v>46315</v>
      </c>
      <c r="F300" t="inlineStr">
        <is>
          <t>KRONOBERGS LÄN</t>
        </is>
      </c>
      <c r="G300" t="inlineStr">
        <is>
          <t>ÄLMHULT</t>
        </is>
      </c>
      <c r="H300" t="inlineStr">
        <is>
          <t>Sveaskog</t>
        </is>
      </c>
      <c r="I300" t="n">
        <v>1.5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43467-2025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45911</v>
      </c>
      <c r="E301" s="1" t="n">
        <v>46315</v>
      </c>
      <c r="F301" t="inlineStr">
        <is>
          <t>KRONOBERGS LÄN</t>
        </is>
      </c>
      <c r="G301" t="inlineStr">
        <is>
          <t>ÄLMHULT</t>
        </is>
      </c>
      <c r="I301" t="n">
        <v>3.7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63742-2025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46016</v>
      </c>
      <c r="E302" s="1" t="n">
        <v>46315</v>
      </c>
      <c r="F302" t="inlineStr">
        <is>
          <t>KRONOBERGS LÄN</t>
        </is>
      </c>
      <c r="G302" t="inlineStr">
        <is>
          <t>ÄLMHULT</t>
        </is>
      </c>
      <c r="I302" t="n">
        <v>2.2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10216-2025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45720</v>
      </c>
      <c r="E303" s="1" t="n">
        <v>46315</v>
      </c>
      <c r="F303" t="inlineStr">
        <is>
          <t>KRONOBERGS LÄN</t>
        </is>
      </c>
      <c r="G303" t="inlineStr">
        <is>
          <t>ÄLMHULT</t>
        </is>
      </c>
      <c r="I303" t="n">
        <v>2.9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25311-2024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45462</v>
      </c>
      <c r="E304" s="1" t="n">
        <v>46315</v>
      </c>
      <c r="F304" t="inlineStr">
        <is>
          <t>KRONOBERGS LÄN</t>
        </is>
      </c>
      <c r="G304" t="inlineStr">
        <is>
          <t>ÄLMHULT</t>
        </is>
      </c>
      <c r="I304" t="n">
        <v>1.1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19265-2023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45049</v>
      </c>
      <c r="E305" s="1" t="n">
        <v>46315</v>
      </c>
      <c r="F305" t="inlineStr">
        <is>
          <t>KRONOBERGS LÄN</t>
        </is>
      </c>
      <c r="G305" t="inlineStr">
        <is>
          <t>ÄLMHULT</t>
        </is>
      </c>
      <c r="I305" t="n">
        <v>1.8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1913-2026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46035</v>
      </c>
      <c r="E306" s="1" t="n">
        <v>46315</v>
      </c>
      <c r="F306" t="inlineStr">
        <is>
          <t>KRONOBERGS LÄN</t>
        </is>
      </c>
      <c r="G306" t="inlineStr">
        <is>
          <t>ÄLMHULT</t>
        </is>
      </c>
      <c r="I306" t="n">
        <v>0.7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7879-2025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45706</v>
      </c>
      <c r="E307" s="1" t="n">
        <v>46315</v>
      </c>
      <c r="F307" t="inlineStr">
        <is>
          <t>KRONOBERGS LÄN</t>
        </is>
      </c>
      <c r="G307" t="inlineStr">
        <is>
          <t>ÄLMHULT</t>
        </is>
      </c>
      <c r="I307" t="n">
        <v>0.5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2750-2026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46038</v>
      </c>
      <c r="E308" s="1" t="n">
        <v>46315</v>
      </c>
      <c r="F308" t="inlineStr">
        <is>
          <t>KRONOBERGS LÄN</t>
        </is>
      </c>
      <c r="G308" t="inlineStr">
        <is>
          <t>ÄLMHULT</t>
        </is>
      </c>
      <c r="I308" t="n">
        <v>2.4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2706-2026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46037</v>
      </c>
      <c r="E309" s="1" t="n">
        <v>46315</v>
      </c>
      <c r="F309" t="inlineStr">
        <is>
          <t>KRONOBERGS LÄN</t>
        </is>
      </c>
      <c r="G309" t="inlineStr">
        <is>
          <t>ÄLMHULT</t>
        </is>
      </c>
      <c r="I309" t="n">
        <v>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64773-2023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45282</v>
      </c>
      <c r="E310" s="1" t="n">
        <v>46315</v>
      </c>
      <c r="F310" t="inlineStr">
        <is>
          <t>KRONOBERGS LÄN</t>
        </is>
      </c>
      <c r="G310" t="inlineStr">
        <is>
          <t>ÄLMHULT</t>
        </is>
      </c>
      <c r="I310" t="n">
        <v>1.9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18440-2022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44686</v>
      </c>
      <c r="E311" s="1" t="n">
        <v>46315</v>
      </c>
      <c r="F311" t="inlineStr">
        <is>
          <t>KRONOBERGS LÄN</t>
        </is>
      </c>
      <c r="G311" t="inlineStr">
        <is>
          <t>ÄLMHULT</t>
        </is>
      </c>
      <c r="I311" t="n">
        <v>2.8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7882-2024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45350</v>
      </c>
      <c r="E312" s="1" t="n">
        <v>46315</v>
      </c>
      <c r="F312" t="inlineStr">
        <is>
          <t>KRONOBERGS LÄN</t>
        </is>
      </c>
      <c r="G312" t="inlineStr">
        <is>
          <t>ÄLMHULT</t>
        </is>
      </c>
      <c r="I312" t="n">
        <v>0.9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54105-2024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45616</v>
      </c>
      <c r="E313" s="1" t="n">
        <v>46315</v>
      </c>
      <c r="F313" t="inlineStr">
        <is>
          <t>KRONOBERGS LÄN</t>
        </is>
      </c>
      <c r="G313" t="inlineStr">
        <is>
          <t>ÄLMHULT</t>
        </is>
      </c>
      <c r="I313" t="n">
        <v>2.3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12112-2022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44636</v>
      </c>
      <c r="E314" s="1" t="n">
        <v>46315</v>
      </c>
      <c r="F314" t="inlineStr">
        <is>
          <t>KRONOBERGS LÄN</t>
        </is>
      </c>
      <c r="G314" t="inlineStr">
        <is>
          <t>ÄLMHULT</t>
        </is>
      </c>
      <c r="I314" t="n">
        <v>1.6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46472-2023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45191</v>
      </c>
      <c r="E315" s="1" t="n">
        <v>46315</v>
      </c>
      <c r="F315" t="inlineStr">
        <is>
          <t>KRONOBERGS LÄN</t>
        </is>
      </c>
      <c r="G315" t="inlineStr">
        <is>
          <t>ÄLMHULT</t>
        </is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4325-2026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46045</v>
      </c>
      <c r="E316" s="1" t="n">
        <v>46315</v>
      </c>
      <c r="F316" t="inlineStr">
        <is>
          <t>KRONOBERGS LÄN</t>
        </is>
      </c>
      <c r="G316" t="inlineStr">
        <is>
          <t>ÄLMHULT</t>
        </is>
      </c>
      <c r="I316" t="n">
        <v>1.3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9883-2025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45716</v>
      </c>
      <c r="E317" s="1" t="n">
        <v>46315</v>
      </c>
      <c r="F317" t="inlineStr">
        <is>
          <t>KRONOBERGS LÄN</t>
        </is>
      </c>
      <c r="G317" t="inlineStr">
        <is>
          <t>ÄLMHULT</t>
        </is>
      </c>
      <c r="H317" t="inlineStr">
        <is>
          <t>Sveaskog</t>
        </is>
      </c>
      <c r="I317" t="n">
        <v>0.3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69454-2021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44531</v>
      </c>
      <c r="E318" s="1" t="n">
        <v>46315</v>
      </c>
      <c r="F318" t="inlineStr">
        <is>
          <t>KRONOBERGS LÄN</t>
        </is>
      </c>
      <c r="G318" t="inlineStr">
        <is>
          <t>ÄLMHULT</t>
        </is>
      </c>
      <c r="I318" t="n">
        <v>3.4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3810-2022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44587</v>
      </c>
      <c r="E319" s="1" t="n">
        <v>46315</v>
      </c>
      <c r="F319" t="inlineStr">
        <is>
          <t>KRONOBERGS LÄN</t>
        </is>
      </c>
      <c r="G319" t="inlineStr">
        <is>
          <t>ÄLMHULT</t>
        </is>
      </c>
      <c r="I319" t="n">
        <v>5.5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21201-2023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45062</v>
      </c>
      <c r="E320" s="1" t="n">
        <v>46315</v>
      </c>
      <c r="F320" t="inlineStr">
        <is>
          <t>KRONOBERGS LÄN</t>
        </is>
      </c>
      <c r="G320" t="inlineStr">
        <is>
          <t>ÄLMHULT</t>
        </is>
      </c>
      <c r="I320" t="n">
        <v>0.6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5929-2026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46052</v>
      </c>
      <c r="E321" s="1" t="n">
        <v>46315</v>
      </c>
      <c r="F321" t="inlineStr">
        <is>
          <t>KRONOBERGS LÄN</t>
        </is>
      </c>
      <c r="G321" t="inlineStr">
        <is>
          <t>ÄLMHULT</t>
        </is>
      </c>
      <c r="I321" t="n">
        <v>0.5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2836-2025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45677</v>
      </c>
      <c r="E322" s="1" t="n">
        <v>46315</v>
      </c>
      <c r="F322" t="inlineStr">
        <is>
          <t>KRONOBERGS LÄN</t>
        </is>
      </c>
      <c r="G322" t="inlineStr">
        <is>
          <t>ÄLMHULT</t>
        </is>
      </c>
      <c r="I322" t="n">
        <v>0.7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5903-2026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46052</v>
      </c>
      <c r="E323" s="1" t="n">
        <v>46315</v>
      </c>
      <c r="F323" t="inlineStr">
        <is>
          <t>KRONOBERGS LÄN</t>
        </is>
      </c>
      <c r="G323" t="inlineStr">
        <is>
          <t>ÄLMHULT</t>
        </is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51764-2023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45222</v>
      </c>
      <c r="E324" s="1" t="n">
        <v>46315</v>
      </c>
      <c r="F324" t="inlineStr">
        <is>
          <t>KRONOBERGS LÄN</t>
        </is>
      </c>
      <c r="G324" t="inlineStr">
        <is>
          <t>ÄLMHULT</t>
        </is>
      </c>
      <c r="I324" t="n">
        <v>1.9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4747-2022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44592</v>
      </c>
      <c r="E325" s="1" t="n">
        <v>46315</v>
      </c>
      <c r="F325" t="inlineStr">
        <is>
          <t>KRONOBERGS LÄN</t>
        </is>
      </c>
      <c r="G325" t="inlineStr">
        <is>
          <t>ÄLMHULT</t>
        </is>
      </c>
      <c r="I325" t="n">
        <v>4.8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49934-2023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45215</v>
      </c>
      <c r="E326" s="1" t="n">
        <v>46315</v>
      </c>
      <c r="F326" t="inlineStr">
        <is>
          <t>KRONOBERGS LÄN</t>
        </is>
      </c>
      <c r="G326" t="inlineStr">
        <is>
          <t>ÄLMHULT</t>
        </is>
      </c>
      <c r="I326" t="n">
        <v>1.8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61970-2024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45653</v>
      </c>
      <c r="E327" s="1" t="n">
        <v>46315</v>
      </c>
      <c r="F327" t="inlineStr">
        <is>
          <t>KRONOBERGS LÄN</t>
        </is>
      </c>
      <c r="G327" t="inlineStr">
        <is>
          <t>ÄLMHULT</t>
        </is>
      </c>
      <c r="I327" t="n">
        <v>0.5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48559-2022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44859</v>
      </c>
      <c r="E328" s="1" t="n">
        <v>46315</v>
      </c>
      <c r="F328" t="inlineStr">
        <is>
          <t>KRONOBERGS LÄN</t>
        </is>
      </c>
      <c r="G328" t="inlineStr">
        <is>
          <t>ÄLMHULT</t>
        </is>
      </c>
      <c r="I328" t="n">
        <v>1.1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11782-2022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44634</v>
      </c>
      <c r="E329" s="1" t="n">
        <v>46315</v>
      </c>
      <c r="F329" t="inlineStr">
        <is>
          <t>KRONOBERGS LÄN</t>
        </is>
      </c>
      <c r="G329" t="inlineStr">
        <is>
          <t>ÄLMHULT</t>
        </is>
      </c>
      <c r="I329" t="n">
        <v>6.2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49292-2022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44861</v>
      </c>
      <c r="E330" s="1" t="n">
        <v>46315</v>
      </c>
      <c r="F330" t="inlineStr">
        <is>
          <t>KRONOBERGS LÄN</t>
        </is>
      </c>
      <c r="G330" t="inlineStr">
        <is>
          <t>ÄLMHULT</t>
        </is>
      </c>
      <c r="I330" t="n">
        <v>2.8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56660-2024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45625</v>
      </c>
      <c r="E331" s="1" t="n">
        <v>46315</v>
      </c>
      <c r="F331" t="inlineStr">
        <is>
          <t>KRONOBERGS LÄN</t>
        </is>
      </c>
      <c r="G331" t="inlineStr">
        <is>
          <t>ÄLMHULT</t>
        </is>
      </c>
      <c r="I331" t="n">
        <v>4.7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9767-2025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45716</v>
      </c>
      <c r="E332" s="1" t="n">
        <v>46315</v>
      </c>
      <c r="F332" t="inlineStr">
        <is>
          <t>KRONOBERGS LÄN</t>
        </is>
      </c>
      <c r="G332" t="inlineStr">
        <is>
          <t>ÄLMHULT</t>
        </is>
      </c>
      <c r="I332" t="n">
        <v>0.3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20120-2022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44698</v>
      </c>
      <c r="E333" s="1" t="n">
        <v>46315</v>
      </c>
      <c r="F333" t="inlineStr">
        <is>
          <t>KRONOBERGS LÄN</t>
        </is>
      </c>
      <c r="G333" t="inlineStr">
        <is>
          <t>ÄLMHULT</t>
        </is>
      </c>
      <c r="I333" t="n">
        <v>11.9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19803-2025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45771</v>
      </c>
      <c r="E334" s="1" t="n">
        <v>46315</v>
      </c>
      <c r="F334" t="inlineStr">
        <is>
          <t>KRONOBERGS LÄN</t>
        </is>
      </c>
      <c r="G334" t="inlineStr">
        <is>
          <t>ÄLMHULT</t>
        </is>
      </c>
      <c r="I334" t="n">
        <v>1.1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7594-2026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46061</v>
      </c>
      <c r="E335" s="1" t="n">
        <v>46315</v>
      </c>
      <c r="F335" t="inlineStr">
        <is>
          <t>KRONOBERGS LÄN</t>
        </is>
      </c>
      <c r="G335" t="inlineStr">
        <is>
          <t>ÄLMHULT</t>
        </is>
      </c>
      <c r="I335" t="n">
        <v>4.8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57315-2023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45240</v>
      </c>
      <c r="E336" s="1" t="n">
        <v>46315</v>
      </c>
      <c r="F336" t="inlineStr">
        <is>
          <t>KRONOBERGS LÄN</t>
        </is>
      </c>
      <c r="G336" t="inlineStr">
        <is>
          <t>ÄLMHULT</t>
        </is>
      </c>
      <c r="H336" t="inlineStr">
        <is>
          <t>Kyrkan</t>
        </is>
      </c>
      <c r="I336" t="n">
        <v>0.5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39360-2023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45166</v>
      </c>
      <c r="E337" s="1" t="n">
        <v>46315</v>
      </c>
      <c r="F337" t="inlineStr">
        <is>
          <t>KRONOBERGS LÄN</t>
        </is>
      </c>
      <c r="G337" t="inlineStr">
        <is>
          <t>ÄLMHULT</t>
        </is>
      </c>
      <c r="I337" t="n">
        <v>0.9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8102-2026</t>
        </is>
      </c>
      <c r="B338" t="inlineStr">
        <is>
          <t>avverkningsanmälan</t>
        </is>
      </c>
      <c r="C338" t="inlineStr">
        <is>
          <t>Avverkning för annat ändamål</t>
        </is>
      </c>
      <c r="D338" s="1" t="n">
        <v>46063</v>
      </c>
      <c r="E338" s="1" t="n">
        <v>46315</v>
      </c>
      <c r="F338" t="inlineStr">
        <is>
          <t>KRONOBERGS LÄN</t>
        </is>
      </c>
      <c r="G338" t="inlineStr">
        <is>
          <t>ÄLMHULT</t>
        </is>
      </c>
      <c r="I338" t="n">
        <v>1.2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8566-2026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46065</v>
      </c>
      <c r="E339" s="1" t="n">
        <v>46315</v>
      </c>
      <c r="F339" t="inlineStr">
        <is>
          <t>KRONOBERGS LÄN</t>
        </is>
      </c>
      <c r="G339" t="inlineStr">
        <is>
          <t>ÄLMHULT</t>
        </is>
      </c>
      <c r="I339" t="n">
        <v>0.8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24503-2024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45460</v>
      </c>
      <c r="E340" s="1" t="n">
        <v>46315</v>
      </c>
      <c r="F340" t="inlineStr">
        <is>
          <t>KRONOBERGS LÄN</t>
        </is>
      </c>
      <c r="G340" t="inlineStr">
        <is>
          <t>ÄLMHULT</t>
        </is>
      </c>
      <c r="I340" t="n">
        <v>0.5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5579-2025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45693</v>
      </c>
      <c r="E341" s="1" t="n">
        <v>46315</v>
      </c>
      <c r="F341" t="inlineStr">
        <is>
          <t>KRONOBERGS LÄN</t>
        </is>
      </c>
      <c r="G341" t="inlineStr">
        <is>
          <t>ÄLMHULT</t>
        </is>
      </c>
      <c r="I341" t="n">
        <v>0.6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6206-2025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45698</v>
      </c>
      <c r="E342" s="1" t="n">
        <v>46315</v>
      </c>
      <c r="F342" t="inlineStr">
        <is>
          <t>KRONOBERGS LÄN</t>
        </is>
      </c>
      <c r="G342" t="inlineStr">
        <is>
          <t>ÄLMHULT</t>
        </is>
      </c>
      <c r="I342" t="n">
        <v>0.6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47425-2023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45202</v>
      </c>
      <c r="E343" s="1" t="n">
        <v>46315</v>
      </c>
      <c r="F343" t="inlineStr">
        <is>
          <t>KRONOBERGS LÄN</t>
        </is>
      </c>
      <c r="G343" t="inlineStr">
        <is>
          <t>ÄLMHULT</t>
        </is>
      </c>
      <c r="I343" t="n">
        <v>2.9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42490-2023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45180</v>
      </c>
      <c r="E344" s="1" t="n">
        <v>46315</v>
      </c>
      <c r="F344" t="inlineStr">
        <is>
          <t>KRONOBERGS LÄN</t>
        </is>
      </c>
      <c r="G344" t="inlineStr">
        <is>
          <t>ÄLMHULT</t>
        </is>
      </c>
      <c r="I344" t="n">
        <v>0.5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26789-2026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46184</v>
      </c>
      <c r="E345" s="1" t="n">
        <v>46315</v>
      </c>
      <c r="F345" t="inlineStr">
        <is>
          <t>KRONOBERGS LÄN</t>
        </is>
      </c>
      <c r="G345" t="inlineStr">
        <is>
          <t>ÄLMHULT</t>
        </is>
      </c>
      <c r="I345" t="n">
        <v>0.8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49564-2023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45211</v>
      </c>
      <c r="E346" s="1" t="n">
        <v>46315</v>
      </c>
      <c r="F346" t="inlineStr">
        <is>
          <t>KRONOBERGS LÄN</t>
        </is>
      </c>
      <c r="G346" t="inlineStr">
        <is>
          <t>ÄLMHULT</t>
        </is>
      </c>
      <c r="I346" t="n">
        <v>2.6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10282-2026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46076</v>
      </c>
      <c r="E347" s="1" t="n">
        <v>46315</v>
      </c>
      <c r="F347" t="inlineStr">
        <is>
          <t>KRONOBERGS LÄN</t>
        </is>
      </c>
      <c r="G347" t="inlineStr">
        <is>
          <t>ÄLMHULT</t>
        </is>
      </c>
      <c r="I347" t="n">
        <v>1.3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49903-2023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45214</v>
      </c>
      <c r="E348" s="1" t="n">
        <v>46315</v>
      </c>
      <c r="F348" t="inlineStr">
        <is>
          <t>KRONOBERGS LÄN</t>
        </is>
      </c>
      <c r="G348" t="inlineStr">
        <is>
          <t>ÄLMHULT</t>
        </is>
      </c>
      <c r="I348" t="n">
        <v>0.6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26790-2026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46184</v>
      </c>
      <c r="E349" s="1" t="n">
        <v>46315</v>
      </c>
      <c r="F349" t="inlineStr">
        <is>
          <t>KRONOBERGS LÄN</t>
        </is>
      </c>
      <c r="G349" t="inlineStr">
        <is>
          <t>ÄLMHULT</t>
        </is>
      </c>
      <c r="I349" t="n">
        <v>4.2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30322-2025</t>
        </is>
      </c>
      <c r="B350" t="inlineStr">
        <is>
          <t>avverkningsanmälan</t>
        </is>
      </c>
      <c r="C350" t="inlineStr">
        <is>
          <t>Avverkning för annat ändamål</t>
        </is>
      </c>
      <c r="D350" s="1" t="n">
        <v>45827</v>
      </c>
      <c r="E350" s="1" t="n">
        <v>46315</v>
      </c>
      <c r="F350" t="inlineStr">
        <is>
          <t>KRONOBERGS LÄN</t>
        </is>
      </c>
      <c r="G350" t="inlineStr">
        <is>
          <t>ÄLMHULT</t>
        </is>
      </c>
      <c r="I350" t="n">
        <v>0.8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41566-2023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45175</v>
      </c>
      <c r="E351" s="1" t="n">
        <v>46315</v>
      </c>
      <c r="F351" t="inlineStr">
        <is>
          <t>KRONOBERGS LÄN</t>
        </is>
      </c>
      <c r="G351" t="inlineStr">
        <is>
          <t>ÄLMHULT</t>
        </is>
      </c>
      <c r="I351" t="n">
        <v>2.8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41577-2023</t>
        </is>
      </c>
      <c r="B352" t="inlineStr">
        <is>
          <t>avverkningsanmälan</t>
        </is>
      </c>
      <c r="C352" t="inlineStr">
        <is>
          <t>Avverkning för annat ändamål</t>
        </is>
      </c>
      <c r="D352" s="1" t="n">
        <v>45175</v>
      </c>
      <c r="E352" s="1" t="n">
        <v>46315</v>
      </c>
      <c r="F352" t="inlineStr">
        <is>
          <t>KRONOBERGS LÄN</t>
        </is>
      </c>
      <c r="G352" t="inlineStr">
        <is>
          <t>ÄLMHULT</t>
        </is>
      </c>
      <c r="I352" t="n">
        <v>0.9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43827-2023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45187</v>
      </c>
      <c r="E353" s="1" t="n">
        <v>46315</v>
      </c>
      <c r="F353" t="inlineStr">
        <is>
          <t>KRONOBERGS LÄN</t>
        </is>
      </c>
      <c r="G353" t="inlineStr">
        <is>
          <t>ÄLMHULT</t>
        </is>
      </c>
      <c r="I353" t="n">
        <v>0.6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3690-2025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45681</v>
      </c>
      <c r="E354" s="1" t="n">
        <v>46315</v>
      </c>
      <c r="F354" t="inlineStr">
        <is>
          <t>KRONOBERGS LÄN</t>
        </is>
      </c>
      <c r="G354" t="inlineStr">
        <is>
          <t>ÄLMHULT</t>
        </is>
      </c>
      <c r="I354" t="n">
        <v>1.2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54363-2023</t>
        </is>
      </c>
      <c r="B355" t="inlineStr">
        <is>
          <t>avverkningsanmälan</t>
        </is>
      </c>
      <c r="C355" t="inlineStr">
        <is>
          <t>Avverkning för annat ändamål</t>
        </is>
      </c>
      <c r="D355" s="1" t="n">
        <v>45233</v>
      </c>
      <c r="E355" s="1" t="n">
        <v>46315</v>
      </c>
      <c r="F355" t="inlineStr">
        <is>
          <t>KRONOBERGS LÄN</t>
        </is>
      </c>
      <c r="G355" t="inlineStr">
        <is>
          <t>ÄLMHULT</t>
        </is>
      </c>
      <c r="I355" t="n">
        <v>8.6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54364-2023</t>
        </is>
      </c>
      <c r="B356" t="inlineStr">
        <is>
          <t>avverkningsanmälan</t>
        </is>
      </c>
      <c r="C356" t="inlineStr">
        <is>
          <t>Avverkning för annat ändamål</t>
        </is>
      </c>
      <c r="D356" s="1" t="n">
        <v>45233</v>
      </c>
      <c r="E356" s="1" t="n">
        <v>46315</v>
      </c>
      <c r="F356" t="inlineStr">
        <is>
          <t>KRONOBERGS LÄN</t>
        </is>
      </c>
      <c r="G356" t="inlineStr">
        <is>
          <t>ÄLMHULT</t>
        </is>
      </c>
      <c r="I356" t="n">
        <v>6.2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13146-2026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46093</v>
      </c>
      <c r="E357" s="1" t="n">
        <v>46315</v>
      </c>
      <c r="F357" t="inlineStr">
        <is>
          <t>KRONOBERGS LÄN</t>
        </is>
      </c>
      <c r="G357" t="inlineStr">
        <is>
          <t>ÄLMHULT</t>
        </is>
      </c>
      <c r="I357" t="n">
        <v>0.7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53201-2024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45612</v>
      </c>
      <c r="E358" s="1" t="n">
        <v>46315</v>
      </c>
      <c r="F358" t="inlineStr">
        <is>
          <t>KRONOBERGS LÄN</t>
        </is>
      </c>
      <c r="G358" t="inlineStr">
        <is>
          <t>ÄLMHULT</t>
        </is>
      </c>
      <c r="I358" t="n">
        <v>1.1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19538-2025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45770</v>
      </c>
      <c r="E359" s="1" t="n">
        <v>46315</v>
      </c>
      <c r="F359" t="inlineStr">
        <is>
          <t>KRONOBERGS LÄN</t>
        </is>
      </c>
      <c r="G359" t="inlineStr">
        <is>
          <t>ÄLMHULT</t>
        </is>
      </c>
      <c r="I359" t="n">
        <v>0.8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23538-2025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45792</v>
      </c>
      <c r="E360" s="1" t="n">
        <v>46315</v>
      </c>
      <c r="F360" t="inlineStr">
        <is>
          <t>KRONOBERGS LÄN</t>
        </is>
      </c>
      <c r="G360" t="inlineStr">
        <is>
          <t>ÄLMHULT</t>
        </is>
      </c>
      <c r="I360" t="n">
        <v>1.1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57574-2023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45246</v>
      </c>
      <c r="E361" s="1" t="n">
        <v>46315</v>
      </c>
      <c r="F361" t="inlineStr">
        <is>
          <t>KRONOBERGS LÄN</t>
        </is>
      </c>
      <c r="G361" t="inlineStr">
        <is>
          <t>ÄLMHULT</t>
        </is>
      </c>
      <c r="I361" t="n">
        <v>0.5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3444-2025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45679</v>
      </c>
      <c r="E362" s="1" t="n">
        <v>46315</v>
      </c>
      <c r="F362" t="inlineStr">
        <is>
          <t>KRONOBERGS LÄN</t>
        </is>
      </c>
      <c r="G362" t="inlineStr">
        <is>
          <t>ÄLMHULT</t>
        </is>
      </c>
      <c r="I362" t="n">
        <v>0.7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28614-2026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46190</v>
      </c>
      <c r="E363" s="1" t="n">
        <v>46315</v>
      </c>
      <c r="F363" t="inlineStr">
        <is>
          <t>KRONOBERGS LÄN</t>
        </is>
      </c>
      <c r="G363" t="inlineStr">
        <is>
          <t>ÄLMHULT</t>
        </is>
      </c>
      <c r="H363" t="inlineStr">
        <is>
          <t>Kyrkan</t>
        </is>
      </c>
      <c r="I363" t="n">
        <v>5.2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35481-2024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45531</v>
      </c>
      <c r="E364" s="1" t="n">
        <v>46315</v>
      </c>
      <c r="F364" t="inlineStr">
        <is>
          <t>KRONOBERGS LÄN</t>
        </is>
      </c>
      <c r="G364" t="inlineStr">
        <is>
          <t>ÄLMHULT</t>
        </is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15322-2026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46105</v>
      </c>
      <c r="E365" s="1" t="n">
        <v>46315</v>
      </c>
      <c r="F365" t="inlineStr">
        <is>
          <t>KRONOBERGS LÄN</t>
        </is>
      </c>
      <c r="G365" t="inlineStr">
        <is>
          <t>ÄLMHULT</t>
        </is>
      </c>
      <c r="H365" t="inlineStr">
        <is>
          <t>Sveaskog</t>
        </is>
      </c>
      <c r="I365" t="n">
        <v>1.9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15337-2026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46105</v>
      </c>
      <c r="E366" s="1" t="n">
        <v>46315</v>
      </c>
      <c r="F366" t="inlineStr">
        <is>
          <t>KRONOBERGS LÄN</t>
        </is>
      </c>
      <c r="G366" t="inlineStr">
        <is>
          <t>ÄLMHULT</t>
        </is>
      </c>
      <c r="H366" t="inlineStr">
        <is>
          <t>Sveaskog</t>
        </is>
      </c>
      <c r="I366" t="n">
        <v>10.2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15334-2026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46105</v>
      </c>
      <c r="E367" s="1" t="n">
        <v>46315</v>
      </c>
      <c r="F367" t="inlineStr">
        <is>
          <t>KRONOBERGS LÄN</t>
        </is>
      </c>
      <c r="G367" t="inlineStr">
        <is>
          <t>ÄLMHULT</t>
        </is>
      </c>
      <c r="H367" t="inlineStr">
        <is>
          <t>Sveaskog</t>
        </is>
      </c>
      <c r="I367" t="n">
        <v>15.3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8260-2024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45352</v>
      </c>
      <c r="E368" s="1" t="n">
        <v>46315</v>
      </c>
      <c r="F368" t="inlineStr">
        <is>
          <t>KRONOBERGS LÄN</t>
        </is>
      </c>
      <c r="G368" t="inlineStr">
        <is>
          <t>ÄLMHULT</t>
        </is>
      </c>
      <c r="H368" t="inlineStr">
        <is>
          <t>Sveaskog</t>
        </is>
      </c>
      <c r="I368" t="n">
        <v>1.2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15327-2026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46105</v>
      </c>
      <c r="E369" s="1" t="n">
        <v>46315</v>
      </c>
      <c r="F369" t="inlineStr">
        <is>
          <t>KRONOBERGS LÄN</t>
        </is>
      </c>
      <c r="G369" t="inlineStr">
        <is>
          <t>ÄLMHULT</t>
        </is>
      </c>
      <c r="H369" t="inlineStr">
        <is>
          <t>Sveaskog</t>
        </is>
      </c>
      <c r="I369" t="n">
        <v>1.7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15329-2026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46105</v>
      </c>
      <c r="E370" s="1" t="n">
        <v>46315</v>
      </c>
      <c r="F370" t="inlineStr">
        <is>
          <t>KRONOBERGS LÄN</t>
        </is>
      </c>
      <c r="G370" t="inlineStr">
        <is>
          <t>ÄLMHULT</t>
        </is>
      </c>
      <c r="H370" t="inlineStr">
        <is>
          <t>Sveaskog</t>
        </is>
      </c>
      <c r="I370" t="n">
        <v>4.7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15320-2026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46105</v>
      </c>
      <c r="E371" s="1" t="n">
        <v>46315</v>
      </c>
      <c r="F371" t="inlineStr">
        <is>
          <t>KRONOBERGS LÄN</t>
        </is>
      </c>
      <c r="G371" t="inlineStr">
        <is>
          <t>ÄLMHULT</t>
        </is>
      </c>
      <c r="H371" t="inlineStr">
        <is>
          <t>Sveaskog</t>
        </is>
      </c>
      <c r="I371" t="n">
        <v>3.2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15323-2026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46105</v>
      </c>
      <c r="E372" s="1" t="n">
        <v>46315</v>
      </c>
      <c r="F372" t="inlineStr">
        <is>
          <t>KRONOBERGS LÄN</t>
        </is>
      </c>
      <c r="G372" t="inlineStr">
        <is>
          <t>ÄLMHULT</t>
        </is>
      </c>
      <c r="H372" t="inlineStr">
        <is>
          <t>Sveaskog</t>
        </is>
      </c>
      <c r="I372" t="n">
        <v>2.9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15859-2026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46107</v>
      </c>
      <c r="E373" s="1" t="n">
        <v>46315</v>
      </c>
      <c r="F373" t="inlineStr">
        <is>
          <t>KRONOBERGS LÄN</t>
        </is>
      </c>
      <c r="G373" t="inlineStr">
        <is>
          <t>ÄLMHULT</t>
        </is>
      </c>
      <c r="I373" t="n">
        <v>0.9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15555-2026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46106</v>
      </c>
      <c r="E374" s="1" t="n">
        <v>46315</v>
      </c>
      <c r="F374" t="inlineStr">
        <is>
          <t>KRONOBERGS LÄN</t>
        </is>
      </c>
      <c r="G374" t="inlineStr">
        <is>
          <t>ÄLMHULT</t>
        </is>
      </c>
      <c r="H374" t="inlineStr">
        <is>
          <t>Sveaskog</t>
        </is>
      </c>
      <c r="I374" t="n">
        <v>2.5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58473-2023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45250</v>
      </c>
      <c r="E375" s="1" t="n">
        <v>46315</v>
      </c>
      <c r="F375" t="inlineStr">
        <is>
          <t>KRONOBERGS LÄN</t>
        </is>
      </c>
      <c r="G375" t="inlineStr">
        <is>
          <t>ÄLMHULT</t>
        </is>
      </c>
      <c r="I375" t="n">
        <v>0.5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58474-2023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45250</v>
      </c>
      <c r="E376" s="1" t="n">
        <v>46315</v>
      </c>
      <c r="F376" t="inlineStr">
        <is>
          <t>KRONOBERGS LÄN</t>
        </is>
      </c>
      <c r="G376" t="inlineStr">
        <is>
          <t>ÄLMHULT</t>
        </is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16137-2026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46108</v>
      </c>
      <c r="E377" s="1" t="n">
        <v>46315</v>
      </c>
      <c r="F377" t="inlineStr">
        <is>
          <t>KRONOBERGS LÄN</t>
        </is>
      </c>
      <c r="G377" t="inlineStr">
        <is>
          <t>ÄLMHULT</t>
        </is>
      </c>
      <c r="I377" t="n">
        <v>1.3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16141-2026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46108</v>
      </c>
      <c r="E378" s="1" t="n">
        <v>46315</v>
      </c>
      <c r="F378" t="inlineStr">
        <is>
          <t>KRONOBERGS LÄN</t>
        </is>
      </c>
      <c r="G378" t="inlineStr">
        <is>
          <t>ÄLMHULT</t>
        </is>
      </c>
      <c r="I378" t="n">
        <v>0.9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59265-2023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45253</v>
      </c>
      <c r="E379" s="1" t="n">
        <v>46315</v>
      </c>
      <c r="F379" t="inlineStr">
        <is>
          <t>KRONOBERGS LÄN</t>
        </is>
      </c>
      <c r="G379" t="inlineStr">
        <is>
          <t>ÄLMHULT</t>
        </is>
      </c>
      <c r="I379" t="n">
        <v>1.3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18251-2024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45421</v>
      </c>
      <c r="E380" s="1" t="n">
        <v>46315</v>
      </c>
      <c r="F380" t="inlineStr">
        <is>
          <t>KRONOBERGS LÄN</t>
        </is>
      </c>
      <c r="G380" t="inlineStr">
        <is>
          <t>ÄLMHULT</t>
        </is>
      </c>
      <c r="I380" t="n">
        <v>0.5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49578-2023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45211</v>
      </c>
      <c r="E381" s="1" t="n">
        <v>46315</v>
      </c>
      <c r="F381" t="inlineStr">
        <is>
          <t>KRONOBERGS LÄN</t>
        </is>
      </c>
      <c r="G381" t="inlineStr">
        <is>
          <t>ÄLMHULT</t>
        </is>
      </c>
      <c r="I381" t="n">
        <v>0.5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28683-2026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46198</v>
      </c>
      <c r="E382" s="1" t="n">
        <v>46315</v>
      </c>
      <c r="F382" t="inlineStr">
        <is>
          <t>KRONOBERGS LÄN</t>
        </is>
      </c>
      <c r="G382" t="inlineStr">
        <is>
          <t>ÄLMHULT</t>
        </is>
      </c>
      <c r="I382" t="n">
        <v>0.6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28686-2026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46198</v>
      </c>
      <c r="E383" s="1" t="n">
        <v>46315</v>
      </c>
      <c r="F383" t="inlineStr">
        <is>
          <t>KRONOBERGS LÄN</t>
        </is>
      </c>
      <c r="G383" t="inlineStr">
        <is>
          <t>ÄLMHULT</t>
        </is>
      </c>
      <c r="I383" t="n">
        <v>0.6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24808-2023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45084</v>
      </c>
      <c r="E384" s="1" t="n">
        <v>46315</v>
      </c>
      <c r="F384" t="inlineStr">
        <is>
          <t>KRONOBERGS LÄN</t>
        </is>
      </c>
      <c r="G384" t="inlineStr">
        <is>
          <t>ÄLMHULT</t>
        </is>
      </c>
      <c r="I384" t="n">
        <v>7.9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60690-2021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44496</v>
      </c>
      <c r="E385" s="1" t="n">
        <v>46315</v>
      </c>
      <c r="F385" t="inlineStr">
        <is>
          <t>KRONOBERGS LÄN</t>
        </is>
      </c>
      <c r="G385" t="inlineStr">
        <is>
          <t>ÄLMHULT</t>
        </is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28693-2026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46198</v>
      </c>
      <c r="E386" s="1" t="n">
        <v>46315</v>
      </c>
      <c r="F386" t="inlineStr">
        <is>
          <t>KRONOBERGS LÄN</t>
        </is>
      </c>
      <c r="G386" t="inlineStr">
        <is>
          <t>ÄLMHULT</t>
        </is>
      </c>
      <c r="I386" t="n">
        <v>1.1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18018-2026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46125</v>
      </c>
      <c r="E387" s="1" t="n">
        <v>46315</v>
      </c>
      <c r="F387" t="inlineStr">
        <is>
          <t>KRONOBERGS LÄN</t>
        </is>
      </c>
      <c r="G387" t="inlineStr">
        <is>
          <t>ÄLMHULT</t>
        </is>
      </c>
      <c r="I387" t="n">
        <v>11.5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19704-2023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45051</v>
      </c>
      <c r="E388" s="1" t="n">
        <v>46315</v>
      </c>
      <c r="F388" t="inlineStr">
        <is>
          <t>KRONOBERGS LÄN</t>
        </is>
      </c>
      <c r="G388" t="inlineStr">
        <is>
          <t>ÄLMHULT</t>
        </is>
      </c>
      <c r="I388" t="n">
        <v>0.9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28707-2026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46198</v>
      </c>
      <c r="E389" s="1" t="n">
        <v>46315</v>
      </c>
      <c r="F389" t="inlineStr">
        <is>
          <t>KRONOBERGS LÄN</t>
        </is>
      </c>
      <c r="G389" t="inlineStr">
        <is>
          <t>ÄLMHULT</t>
        </is>
      </c>
      <c r="I389" t="n">
        <v>1.5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62481-2023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45268</v>
      </c>
      <c r="E390" s="1" t="n">
        <v>46315</v>
      </c>
      <c r="F390" t="inlineStr">
        <is>
          <t>KRONOBERGS LÄN</t>
        </is>
      </c>
      <c r="G390" t="inlineStr">
        <is>
          <t>ÄLMHULT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26516-2024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45469</v>
      </c>
      <c r="E391" s="1" t="n">
        <v>46315</v>
      </c>
      <c r="F391" t="inlineStr">
        <is>
          <t>KRONOBERGS LÄN</t>
        </is>
      </c>
      <c r="G391" t="inlineStr">
        <is>
          <t>ÄLMHULT</t>
        </is>
      </c>
      <c r="I391" t="n">
        <v>3.1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18702-2026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46128</v>
      </c>
      <c r="E392" s="1" t="n">
        <v>46315</v>
      </c>
      <c r="F392" t="inlineStr">
        <is>
          <t>KRONOBERGS LÄN</t>
        </is>
      </c>
      <c r="G392" t="inlineStr">
        <is>
          <t>ÄLMHULT</t>
        </is>
      </c>
      <c r="I392" t="n">
        <v>5.7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41485-2023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45175</v>
      </c>
      <c r="E393" s="1" t="n">
        <v>46315</v>
      </c>
      <c r="F393" t="inlineStr">
        <is>
          <t>KRONOBERGS LÄN</t>
        </is>
      </c>
      <c r="G393" t="inlineStr">
        <is>
          <t>ÄLMHULT</t>
        </is>
      </c>
      <c r="I393" t="n">
        <v>0.8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29141-2026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46202</v>
      </c>
      <c r="E394" s="1" t="n">
        <v>46315</v>
      </c>
      <c r="F394" t="inlineStr">
        <is>
          <t>KRONOBERGS LÄN</t>
        </is>
      </c>
      <c r="G394" t="inlineStr">
        <is>
          <t>ÄLMHULT</t>
        </is>
      </c>
      <c r="I394" t="n">
        <v>1.1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53053-2022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44876</v>
      </c>
      <c r="E395" s="1" t="n">
        <v>46315</v>
      </c>
      <c r="F395" t="inlineStr">
        <is>
          <t>KRONOBERGS LÄN</t>
        </is>
      </c>
      <c r="G395" t="inlineStr">
        <is>
          <t>ÄLMHULT</t>
        </is>
      </c>
      <c r="I395" t="n">
        <v>0.9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39573-2023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45167</v>
      </c>
      <c r="E396" s="1" t="n">
        <v>46315</v>
      </c>
      <c r="F396" t="inlineStr">
        <is>
          <t>KRONOBERGS LÄN</t>
        </is>
      </c>
      <c r="G396" t="inlineStr">
        <is>
          <t>ÄLMHULT</t>
        </is>
      </c>
      <c r="I396" t="n">
        <v>4.5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29753-2026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46204</v>
      </c>
      <c r="E397" s="1" t="n">
        <v>46315</v>
      </c>
      <c r="F397" t="inlineStr">
        <is>
          <t>KRONOBERGS LÄN</t>
        </is>
      </c>
      <c r="G397" t="inlineStr">
        <is>
          <t>ÄLMHULT</t>
        </is>
      </c>
      <c r="I397" t="n">
        <v>2.9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29773-2026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46204</v>
      </c>
      <c r="E398" s="1" t="n">
        <v>46315</v>
      </c>
      <c r="F398" t="inlineStr">
        <is>
          <t>KRONOBERGS LÄN</t>
        </is>
      </c>
      <c r="G398" t="inlineStr">
        <is>
          <t>ÄLMHULT</t>
        </is>
      </c>
      <c r="I398" t="n">
        <v>0.6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21241-2024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45440</v>
      </c>
      <c r="E399" s="1" t="n">
        <v>46315</v>
      </c>
      <c r="F399" t="inlineStr">
        <is>
          <t>KRONOBERGS LÄN</t>
        </is>
      </c>
      <c r="G399" t="inlineStr">
        <is>
          <t>ÄLMHULT</t>
        </is>
      </c>
      <c r="I399" t="n">
        <v>1.5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49327-2025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45938</v>
      </c>
      <c r="E400" s="1" t="n">
        <v>46315</v>
      </c>
      <c r="F400" t="inlineStr">
        <is>
          <t>KRONOBERGS LÄN</t>
        </is>
      </c>
      <c r="G400" t="inlineStr">
        <is>
          <t>ÄLMHULT</t>
        </is>
      </c>
      <c r="I400" t="n">
        <v>3.9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10743-2025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45722</v>
      </c>
      <c r="E401" s="1" t="n">
        <v>46315</v>
      </c>
      <c r="F401" t="inlineStr">
        <is>
          <t>KRONOBERGS LÄN</t>
        </is>
      </c>
      <c r="G401" t="inlineStr">
        <is>
          <t>ÄLMHULT</t>
        </is>
      </c>
      <c r="I401" t="n">
        <v>3.4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29642-2026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46204</v>
      </c>
      <c r="E402" s="1" t="n">
        <v>46315</v>
      </c>
      <c r="F402" t="inlineStr">
        <is>
          <t>KRONOBERGS LÄN</t>
        </is>
      </c>
      <c r="G402" t="inlineStr">
        <is>
          <t>ÄLMHULT</t>
        </is>
      </c>
      <c r="I402" t="n">
        <v>8.6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62120-2022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44921</v>
      </c>
      <c r="E403" s="1" t="n">
        <v>46315</v>
      </c>
      <c r="F403" t="inlineStr">
        <is>
          <t>KRONOBERGS LÄN</t>
        </is>
      </c>
      <c r="G403" t="inlineStr">
        <is>
          <t>ÄLMHULT</t>
        </is>
      </c>
      <c r="I403" t="n">
        <v>2.2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12947-2025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45734</v>
      </c>
      <c r="E404" s="1" t="n">
        <v>46315</v>
      </c>
      <c r="F404" t="inlineStr">
        <is>
          <t>KRONOBERGS LÄN</t>
        </is>
      </c>
      <c r="G404" t="inlineStr">
        <is>
          <t>ÄLMHULT</t>
        </is>
      </c>
      <c r="I404" t="n">
        <v>0.5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52175-2024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45608</v>
      </c>
      <c r="E405" s="1" t="n">
        <v>46315</v>
      </c>
      <c r="F405" t="inlineStr">
        <is>
          <t>KRONOBERGS LÄN</t>
        </is>
      </c>
      <c r="G405" t="inlineStr">
        <is>
          <t>ÄLMHULT</t>
        </is>
      </c>
      <c r="I405" t="n">
        <v>1.8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32197-2025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45835</v>
      </c>
      <c r="E406" s="1" t="n">
        <v>46315</v>
      </c>
      <c r="F406" t="inlineStr">
        <is>
          <t>KRONOBERGS LÄN</t>
        </is>
      </c>
      <c r="G406" t="inlineStr">
        <is>
          <t>ÄLMHULT</t>
        </is>
      </c>
      <c r="I406" t="n">
        <v>2.3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30996-2026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46206</v>
      </c>
      <c r="E407" s="1" t="n">
        <v>46315</v>
      </c>
      <c r="F407" t="inlineStr">
        <is>
          <t>KRONOBERGS LÄN</t>
        </is>
      </c>
      <c r="G407" t="inlineStr">
        <is>
          <t>ÄLMHULT</t>
        </is>
      </c>
      <c r="I407" t="n">
        <v>0.8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35478-2024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45531</v>
      </c>
      <c r="E408" s="1" t="n">
        <v>46315</v>
      </c>
      <c r="F408" t="inlineStr">
        <is>
          <t>KRONOBERGS LÄN</t>
        </is>
      </c>
      <c r="G408" t="inlineStr">
        <is>
          <t>ÄLMHULT</t>
        </is>
      </c>
      <c r="H408" t="inlineStr">
        <is>
          <t>Kyrkan</t>
        </is>
      </c>
      <c r="I408" t="n">
        <v>5.7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38428-2024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45546</v>
      </c>
      <c r="E409" s="1" t="n">
        <v>46315</v>
      </c>
      <c r="F409" t="inlineStr">
        <is>
          <t>KRONOBERGS LÄN</t>
        </is>
      </c>
      <c r="G409" t="inlineStr">
        <is>
          <t>ÄLMHULT</t>
        </is>
      </c>
      <c r="I409" t="n">
        <v>0.6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29636-2026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46204</v>
      </c>
      <c r="E410" s="1" t="n">
        <v>46315</v>
      </c>
      <c r="F410" t="inlineStr">
        <is>
          <t>KRONOBERGS LÄN</t>
        </is>
      </c>
      <c r="G410" t="inlineStr">
        <is>
          <t>ÄLMHULT</t>
        </is>
      </c>
      <c r="I410" t="n">
        <v>0.9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29760-2026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46204</v>
      </c>
      <c r="E411" s="1" t="n">
        <v>46315</v>
      </c>
      <c r="F411" t="inlineStr">
        <is>
          <t>KRONOBERGS LÄN</t>
        </is>
      </c>
      <c r="G411" t="inlineStr">
        <is>
          <t>ÄLMHULT</t>
        </is>
      </c>
      <c r="I411" t="n">
        <v>4.1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29775-2026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46204</v>
      </c>
      <c r="E412" s="1" t="n">
        <v>46315</v>
      </c>
      <c r="F412" t="inlineStr">
        <is>
          <t>KRONOBERGS LÄN</t>
        </is>
      </c>
      <c r="G412" t="inlineStr">
        <is>
          <t>ÄLMHULT</t>
        </is>
      </c>
      <c r="I412" t="n">
        <v>0.8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29776-2026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46204</v>
      </c>
      <c r="E413" s="1" t="n">
        <v>46315</v>
      </c>
      <c r="F413" t="inlineStr">
        <is>
          <t>KRONOBERGS LÄN</t>
        </is>
      </c>
      <c r="G413" t="inlineStr">
        <is>
          <t>ÄLMHULT</t>
        </is>
      </c>
      <c r="I413" t="n">
        <v>1.2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10087-2022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44621</v>
      </c>
      <c r="E414" s="1" t="n">
        <v>46315</v>
      </c>
      <c r="F414" t="inlineStr">
        <is>
          <t>KRONOBERGS LÄN</t>
        </is>
      </c>
      <c r="G414" t="inlineStr">
        <is>
          <t>ÄLMHULT</t>
        </is>
      </c>
      <c r="I414" t="n">
        <v>2.2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30999-2026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46206</v>
      </c>
      <c r="E415" s="1" t="n">
        <v>46315</v>
      </c>
      <c r="F415" t="inlineStr">
        <is>
          <t>KRONOBERGS LÄN</t>
        </is>
      </c>
      <c r="G415" t="inlineStr">
        <is>
          <t>ÄLMHULT</t>
        </is>
      </c>
      <c r="I415" t="n">
        <v>0.5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43429-2025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45911</v>
      </c>
      <c r="E416" s="1" t="n">
        <v>46315</v>
      </c>
      <c r="F416" t="inlineStr">
        <is>
          <t>KRONOBERGS LÄN</t>
        </is>
      </c>
      <c r="G416" t="inlineStr">
        <is>
          <t>ÄLMHULT</t>
        </is>
      </c>
      <c r="I416" t="n">
        <v>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38730-2025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45887</v>
      </c>
      <c r="E417" s="1" t="n">
        <v>46315</v>
      </c>
      <c r="F417" t="inlineStr">
        <is>
          <t>KRONOBERGS LÄN</t>
        </is>
      </c>
      <c r="G417" t="inlineStr">
        <is>
          <t>ÄLMHULT</t>
        </is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48331-2022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44858</v>
      </c>
      <c r="E418" s="1" t="n">
        <v>46315</v>
      </c>
      <c r="F418" t="inlineStr">
        <is>
          <t>KRONOBERGS LÄN</t>
        </is>
      </c>
      <c r="G418" t="inlineStr">
        <is>
          <t>ÄLMHULT</t>
        </is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43903-2023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45187</v>
      </c>
      <c r="E419" s="1" t="n">
        <v>46315</v>
      </c>
      <c r="F419" t="inlineStr">
        <is>
          <t>KRONOBERGS LÄN</t>
        </is>
      </c>
      <c r="G419" t="inlineStr">
        <is>
          <t>ÄLMHULT</t>
        </is>
      </c>
      <c r="I419" t="n">
        <v>2.3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17161-2024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45412</v>
      </c>
      <c r="E420" s="1" t="n">
        <v>46315</v>
      </c>
      <c r="F420" t="inlineStr">
        <is>
          <t>KRONOBERGS LÄN</t>
        </is>
      </c>
      <c r="G420" t="inlineStr">
        <is>
          <t>ÄLMHULT</t>
        </is>
      </c>
      <c r="I420" t="n">
        <v>0.7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38457-2025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45883</v>
      </c>
      <c r="E421" s="1" t="n">
        <v>46315</v>
      </c>
      <c r="F421" t="inlineStr">
        <is>
          <t>KRONOBERGS LÄN</t>
        </is>
      </c>
      <c r="G421" t="inlineStr">
        <is>
          <t>ÄLMHULT</t>
        </is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17212-2024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45414</v>
      </c>
      <c r="E422" s="1" t="n">
        <v>46315</v>
      </c>
      <c r="F422" t="inlineStr">
        <is>
          <t>KRONOBERGS LÄN</t>
        </is>
      </c>
      <c r="G422" t="inlineStr">
        <is>
          <t>ÄLMHULT</t>
        </is>
      </c>
      <c r="I422" t="n">
        <v>1.5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28035-2025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45817</v>
      </c>
      <c r="E423" s="1" t="n">
        <v>46315</v>
      </c>
      <c r="F423" t="inlineStr">
        <is>
          <t>KRONOBERGS LÄN</t>
        </is>
      </c>
      <c r="G423" t="inlineStr">
        <is>
          <t>ÄLMHULT</t>
        </is>
      </c>
      <c r="I423" t="n">
        <v>6.2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11188-2023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44992</v>
      </c>
      <c r="E424" s="1" t="n">
        <v>46315</v>
      </c>
      <c r="F424" t="inlineStr">
        <is>
          <t>KRONOBERGS LÄN</t>
        </is>
      </c>
      <c r="G424" t="inlineStr">
        <is>
          <t>ÄLMHULT</t>
        </is>
      </c>
      <c r="I424" t="n">
        <v>0.6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12877-2025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45733</v>
      </c>
      <c r="E425" s="1" t="n">
        <v>46315</v>
      </c>
      <c r="F425" t="inlineStr">
        <is>
          <t>KRONOBERGS LÄN</t>
        </is>
      </c>
      <c r="G425" t="inlineStr">
        <is>
          <t>ÄLMHULT</t>
        </is>
      </c>
      <c r="I425" t="n">
        <v>2.3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8329-2022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44610</v>
      </c>
      <c r="E426" s="1" t="n">
        <v>46315</v>
      </c>
      <c r="F426" t="inlineStr">
        <is>
          <t>KRONOBERGS LÄN</t>
        </is>
      </c>
      <c r="G426" t="inlineStr">
        <is>
          <t>ÄLMHULT</t>
        </is>
      </c>
      <c r="I426" t="n">
        <v>1.5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11195-2023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44992</v>
      </c>
      <c r="E427" s="1" t="n">
        <v>46315</v>
      </c>
      <c r="F427" t="inlineStr">
        <is>
          <t>KRONOBERGS LÄN</t>
        </is>
      </c>
      <c r="G427" t="inlineStr">
        <is>
          <t>ÄLMHULT</t>
        </is>
      </c>
      <c r="I427" t="n">
        <v>1.6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45069-2024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45575</v>
      </c>
      <c r="E428" s="1" t="n">
        <v>46315</v>
      </c>
      <c r="F428" t="inlineStr">
        <is>
          <t>KRONOBERGS LÄN</t>
        </is>
      </c>
      <c r="G428" t="inlineStr">
        <is>
          <t>ÄLMHULT</t>
        </is>
      </c>
      <c r="I428" t="n">
        <v>2.4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2242-2023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44942</v>
      </c>
      <c r="E429" s="1" t="n">
        <v>46315</v>
      </c>
      <c r="F429" t="inlineStr">
        <is>
          <t>KRONOBERGS LÄN</t>
        </is>
      </c>
      <c r="G429" t="inlineStr">
        <is>
          <t>ÄLMHULT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24928-2023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45085</v>
      </c>
      <c r="E430" s="1" t="n">
        <v>46315</v>
      </c>
      <c r="F430" t="inlineStr">
        <is>
          <t>KRONOBERGS LÄN</t>
        </is>
      </c>
      <c r="G430" t="inlineStr">
        <is>
          <t>ÄLMHULT</t>
        </is>
      </c>
      <c r="I430" t="n">
        <v>0.5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2239-2023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44942</v>
      </c>
      <c r="E431" s="1" t="n">
        <v>46315</v>
      </c>
      <c r="F431" t="inlineStr">
        <is>
          <t>KRONOBERGS LÄN</t>
        </is>
      </c>
      <c r="G431" t="inlineStr">
        <is>
          <t>ÄLMHULT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49112-2022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44860</v>
      </c>
      <c r="E432" s="1" t="n">
        <v>46315</v>
      </c>
      <c r="F432" t="inlineStr">
        <is>
          <t>KRONOBERGS LÄN</t>
        </is>
      </c>
      <c r="G432" t="inlineStr">
        <is>
          <t>ÄLMHULT</t>
        </is>
      </c>
      <c r="I432" t="n">
        <v>1.2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43852-2023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45187</v>
      </c>
      <c r="E433" s="1" t="n">
        <v>46315</v>
      </c>
      <c r="F433" t="inlineStr">
        <is>
          <t>KRONOBERGS LÄN</t>
        </is>
      </c>
      <c r="G433" t="inlineStr">
        <is>
          <t>ÄLMHULT</t>
        </is>
      </c>
      <c r="I433" t="n">
        <v>1.5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65247-2023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45290</v>
      </c>
      <c r="E434" s="1" t="n">
        <v>46315</v>
      </c>
      <c r="F434" t="inlineStr">
        <is>
          <t>KRONOBERGS LÄN</t>
        </is>
      </c>
      <c r="G434" t="inlineStr">
        <is>
          <t>ÄLMHULT</t>
        </is>
      </c>
      <c r="I434" t="n">
        <v>1.7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52332-2024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45609</v>
      </c>
      <c r="E435" s="1" t="n">
        <v>46315</v>
      </c>
      <c r="F435" t="inlineStr">
        <is>
          <t>KRONOBERGS LÄN</t>
        </is>
      </c>
      <c r="G435" t="inlineStr">
        <is>
          <t>ÄLMHULT</t>
        </is>
      </c>
      <c r="I435" t="n">
        <v>1.1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50541-2023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45217</v>
      </c>
      <c r="E436" s="1" t="n">
        <v>46315</v>
      </c>
      <c r="F436" t="inlineStr">
        <is>
          <t>KRONOBERGS LÄN</t>
        </is>
      </c>
      <c r="G436" t="inlineStr">
        <is>
          <t>ÄLMHULT</t>
        </is>
      </c>
      <c r="I436" t="n">
        <v>1.9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56925-2023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45244</v>
      </c>
      <c r="E437" s="1" t="n">
        <v>46315</v>
      </c>
      <c r="F437" t="inlineStr">
        <is>
          <t>KRONOBERGS LÄN</t>
        </is>
      </c>
      <c r="G437" t="inlineStr">
        <is>
          <t>ÄLMHULT</t>
        </is>
      </c>
      <c r="I437" t="n">
        <v>2.7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30494-2023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45111</v>
      </c>
      <c r="E438" s="1" t="n">
        <v>46315</v>
      </c>
      <c r="F438" t="inlineStr">
        <is>
          <t>KRONOBERGS LÄN</t>
        </is>
      </c>
      <c r="G438" t="inlineStr">
        <is>
          <t>ÄLMHULT</t>
        </is>
      </c>
      <c r="I438" t="n">
        <v>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68189-2021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44526</v>
      </c>
      <c r="E439" s="1" t="n">
        <v>46315</v>
      </c>
      <c r="F439" t="inlineStr">
        <is>
          <t>KRONOBERGS LÄN</t>
        </is>
      </c>
      <c r="G439" t="inlineStr">
        <is>
          <t>ÄLMHULT</t>
        </is>
      </c>
      <c r="I439" t="n">
        <v>0.4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34794-2023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45141</v>
      </c>
      <c r="E440" s="1" t="n">
        <v>46315</v>
      </c>
      <c r="F440" t="inlineStr">
        <is>
          <t>KRONOBERGS LÄN</t>
        </is>
      </c>
      <c r="G440" t="inlineStr">
        <is>
          <t>ÄLMHULT</t>
        </is>
      </c>
      <c r="I440" t="n">
        <v>1.6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9353-2024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45359</v>
      </c>
      <c r="E441" s="1" t="n">
        <v>46315</v>
      </c>
      <c r="F441" t="inlineStr">
        <is>
          <t>KRONOBERGS LÄN</t>
        </is>
      </c>
      <c r="G441" t="inlineStr">
        <is>
          <t>ÄLMHULT</t>
        </is>
      </c>
      <c r="I441" t="n">
        <v>0.7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31080-2026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46216</v>
      </c>
      <c r="E442" s="1" t="n">
        <v>46315</v>
      </c>
      <c r="F442" t="inlineStr">
        <is>
          <t>KRONOBERGS LÄN</t>
        </is>
      </c>
      <c r="G442" t="inlineStr">
        <is>
          <t>ÄLMHULT</t>
        </is>
      </c>
      <c r="H442" t="inlineStr">
        <is>
          <t>Sveaskog</t>
        </is>
      </c>
      <c r="I442" t="n">
        <v>1.7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31112-2026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46216</v>
      </c>
      <c r="E443" s="1" t="n">
        <v>46315</v>
      </c>
      <c r="F443" t="inlineStr">
        <is>
          <t>KRONOBERGS LÄN</t>
        </is>
      </c>
      <c r="G443" t="inlineStr">
        <is>
          <t>ÄLMHULT</t>
        </is>
      </c>
      <c r="H443" t="inlineStr">
        <is>
          <t>Sveaskog</t>
        </is>
      </c>
      <c r="I443" t="n">
        <v>1.7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31111-2026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46216</v>
      </c>
      <c r="E444" s="1" t="n">
        <v>46315</v>
      </c>
      <c r="F444" t="inlineStr">
        <is>
          <t>KRONOBERGS LÄN</t>
        </is>
      </c>
      <c r="G444" t="inlineStr">
        <is>
          <t>ÄLMHULT</t>
        </is>
      </c>
      <c r="H444" t="inlineStr">
        <is>
          <t>Sveaskog</t>
        </is>
      </c>
      <c r="I444" t="n">
        <v>1.7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31103-2026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46216</v>
      </c>
      <c r="E445" s="1" t="n">
        <v>46315</v>
      </c>
      <c r="F445" t="inlineStr">
        <is>
          <t>KRONOBERGS LÄN</t>
        </is>
      </c>
      <c r="G445" t="inlineStr">
        <is>
          <t>ÄLMHULT</t>
        </is>
      </c>
      <c r="H445" t="inlineStr">
        <is>
          <t>Sveaskog</t>
        </is>
      </c>
      <c r="I445" t="n">
        <v>1.3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31104-2026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46216</v>
      </c>
      <c r="E446" s="1" t="n">
        <v>46315</v>
      </c>
      <c r="F446" t="inlineStr">
        <is>
          <t>KRONOBERGS LÄN</t>
        </is>
      </c>
      <c r="G446" t="inlineStr">
        <is>
          <t>ÄLMHULT</t>
        </is>
      </c>
      <c r="H446" t="inlineStr">
        <is>
          <t>Sveaskog</t>
        </is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31113-2026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46216</v>
      </c>
      <c r="E447" s="1" t="n">
        <v>46315</v>
      </c>
      <c r="F447" t="inlineStr">
        <is>
          <t>KRONOBERGS LÄN</t>
        </is>
      </c>
      <c r="G447" t="inlineStr">
        <is>
          <t>ÄLMHULT</t>
        </is>
      </c>
      <c r="H447" t="inlineStr">
        <is>
          <t>Sveaskog</t>
        </is>
      </c>
      <c r="I447" t="n">
        <v>1.2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14425-2023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45012</v>
      </c>
      <c r="E448" s="1" t="n">
        <v>46315</v>
      </c>
      <c r="F448" t="inlineStr">
        <is>
          <t>KRONOBERGS LÄN</t>
        </is>
      </c>
      <c r="G448" t="inlineStr">
        <is>
          <t>ÄLMHULT</t>
        </is>
      </c>
      <c r="I448" t="n">
        <v>0.5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18575-2022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44687</v>
      </c>
      <c r="E449" s="1" t="n">
        <v>46315</v>
      </c>
      <c r="F449" t="inlineStr">
        <is>
          <t>KRONOBERGS LÄN</t>
        </is>
      </c>
      <c r="G449" t="inlineStr">
        <is>
          <t>ÄLMHULT</t>
        </is>
      </c>
      <c r="I449" t="n">
        <v>1.1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24333-2023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45081</v>
      </c>
      <c r="E450" s="1" t="n">
        <v>46315</v>
      </c>
      <c r="F450" t="inlineStr">
        <is>
          <t>KRONOBERGS LÄN</t>
        </is>
      </c>
      <c r="G450" t="inlineStr">
        <is>
          <t>ÄLMHULT</t>
        </is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21990-2023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45068</v>
      </c>
      <c r="E451" s="1" t="n">
        <v>46315</v>
      </c>
      <c r="F451" t="inlineStr">
        <is>
          <t>KRONOBERGS LÄN</t>
        </is>
      </c>
      <c r="G451" t="inlineStr">
        <is>
          <t>ÄLMHULT</t>
        </is>
      </c>
      <c r="I451" t="n">
        <v>1.4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31753-2026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46227</v>
      </c>
      <c r="E452" s="1" t="n">
        <v>46315</v>
      </c>
      <c r="F452" t="inlineStr">
        <is>
          <t>KRONOBERGS LÄN</t>
        </is>
      </c>
      <c r="G452" t="inlineStr">
        <is>
          <t>ÄLMHULT</t>
        </is>
      </c>
      <c r="I452" t="n">
        <v>0.7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31711-2026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46226</v>
      </c>
      <c r="E453" s="1" t="n">
        <v>46315</v>
      </c>
      <c r="F453" t="inlineStr">
        <is>
          <t>KRONOBERGS LÄN</t>
        </is>
      </c>
      <c r="G453" t="inlineStr">
        <is>
          <t>ÄLMHULT</t>
        </is>
      </c>
      <c r="I453" t="n">
        <v>0.6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31754-2026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46227</v>
      </c>
      <c r="E454" s="1" t="n">
        <v>46315</v>
      </c>
      <c r="F454" t="inlineStr">
        <is>
          <t>KRONOBERGS LÄN</t>
        </is>
      </c>
      <c r="G454" t="inlineStr">
        <is>
          <t>ÄLMHULT</t>
        </is>
      </c>
      <c r="I454" t="n">
        <v>2.1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14282-2023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45010</v>
      </c>
      <c r="E455" s="1" t="n">
        <v>46315</v>
      </c>
      <c r="F455" t="inlineStr">
        <is>
          <t>KRONOBERGS LÄN</t>
        </is>
      </c>
      <c r="G455" t="inlineStr">
        <is>
          <t>ÄLMHULT</t>
        </is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31712-2026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46226</v>
      </c>
      <c r="E456" s="1" t="n">
        <v>46315</v>
      </c>
      <c r="F456" t="inlineStr">
        <is>
          <t>KRONOBERGS LÄN</t>
        </is>
      </c>
      <c r="G456" t="inlineStr">
        <is>
          <t>ÄLMHULT</t>
        </is>
      </c>
      <c r="I456" t="n">
        <v>0.6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31713-2026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46226</v>
      </c>
      <c r="E457" s="1" t="n">
        <v>46315</v>
      </c>
      <c r="F457" t="inlineStr">
        <is>
          <t>KRONOBERGS LÄN</t>
        </is>
      </c>
      <c r="G457" t="inlineStr">
        <is>
          <t>ÄLMHULT</t>
        </is>
      </c>
      <c r="I457" t="n">
        <v>1.8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19063-2023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45048</v>
      </c>
      <c r="E458" s="1" t="n">
        <v>46315</v>
      </c>
      <c r="F458" t="inlineStr">
        <is>
          <t>KRONOBERGS LÄN</t>
        </is>
      </c>
      <c r="G458" t="inlineStr">
        <is>
          <t>ÄLMHULT</t>
        </is>
      </c>
      <c r="I458" t="n">
        <v>1.9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42014-2023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45177</v>
      </c>
      <c r="E459" s="1" t="n">
        <v>46315</v>
      </c>
      <c r="F459" t="inlineStr">
        <is>
          <t>KRONOBERGS LÄN</t>
        </is>
      </c>
      <c r="G459" t="inlineStr">
        <is>
          <t>ÄLMHULT</t>
        </is>
      </c>
      <c r="I459" t="n">
        <v>2.5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18385-2023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45042</v>
      </c>
      <c r="E460" s="1" t="n">
        <v>46315</v>
      </c>
      <c r="F460" t="inlineStr">
        <is>
          <t>KRONOBERGS LÄN</t>
        </is>
      </c>
      <c r="G460" t="inlineStr">
        <is>
          <t>ÄLMHULT</t>
        </is>
      </c>
      <c r="I460" t="n">
        <v>0.6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63115-2023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45273</v>
      </c>
      <c r="E461" s="1" t="n">
        <v>46315</v>
      </c>
      <c r="F461" t="inlineStr">
        <is>
          <t>KRONOBERGS LÄN</t>
        </is>
      </c>
      <c r="G461" t="inlineStr">
        <is>
          <t>ÄLMHULT</t>
        </is>
      </c>
      <c r="I461" t="n">
        <v>0.9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13801-2024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45391</v>
      </c>
      <c r="E462" s="1" t="n">
        <v>46315</v>
      </c>
      <c r="F462" t="inlineStr">
        <is>
          <t>KRONOBERGS LÄN</t>
        </is>
      </c>
      <c r="G462" t="inlineStr">
        <is>
          <t>ÄLMHULT</t>
        </is>
      </c>
      <c r="I462" t="n">
        <v>0.6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33944-2023</t>
        </is>
      </c>
      <c r="B463" t="inlineStr">
        <is>
          <t>avverkningsanmälan</t>
        </is>
      </c>
      <c r="C463" t="inlineStr">
        <is>
          <t>Avverkning för annat ändamål</t>
        </is>
      </c>
      <c r="D463" s="1" t="n">
        <v>45134</v>
      </c>
      <c r="E463" s="1" t="n">
        <v>46315</v>
      </c>
      <c r="F463" t="inlineStr">
        <is>
          <t>KRONOBERGS LÄN</t>
        </is>
      </c>
      <c r="G463" t="inlineStr">
        <is>
          <t>ÄLMHULT</t>
        </is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27863-2022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44743</v>
      </c>
      <c r="E464" s="1" t="n">
        <v>46315</v>
      </c>
      <c r="F464" t="inlineStr">
        <is>
          <t>KRONOBERGS LÄN</t>
        </is>
      </c>
      <c r="G464" t="inlineStr">
        <is>
          <t>ÄLMHULT</t>
        </is>
      </c>
      <c r="I464" t="n">
        <v>3.3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26605-2024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45469</v>
      </c>
      <c r="E465" s="1" t="n">
        <v>46315</v>
      </c>
      <c r="F465" t="inlineStr">
        <is>
          <t>KRONOBERGS LÄN</t>
        </is>
      </c>
      <c r="G465" t="inlineStr">
        <is>
          <t>ÄLMHULT</t>
        </is>
      </c>
      <c r="H465" t="inlineStr">
        <is>
          <t>Sveaskog</t>
        </is>
      </c>
      <c r="I465" t="n">
        <v>0.6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37950-2026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46280</v>
      </c>
      <c r="E466" s="1" t="n">
        <v>46315</v>
      </c>
      <c r="F466" t="inlineStr">
        <is>
          <t>KRONOBERGS LÄN</t>
        </is>
      </c>
      <c r="G466" t="inlineStr">
        <is>
          <t>ÄLMHULT</t>
        </is>
      </c>
      <c r="I466" t="n">
        <v>7.8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8434-2023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44977</v>
      </c>
      <c r="E467" s="1" t="n">
        <v>46315</v>
      </c>
      <c r="F467" t="inlineStr">
        <is>
          <t>KRONOBERGS LÄN</t>
        </is>
      </c>
      <c r="G467" t="inlineStr">
        <is>
          <t>ÄLMHULT</t>
        </is>
      </c>
      <c r="I467" t="n">
        <v>2.5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11594-2024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45373</v>
      </c>
      <c r="E468" s="1" t="n">
        <v>46315</v>
      </c>
      <c r="F468" t="inlineStr">
        <is>
          <t>KRONOBERGS LÄN</t>
        </is>
      </c>
      <c r="G468" t="inlineStr">
        <is>
          <t>ÄLMHULT</t>
        </is>
      </c>
      <c r="H468" t="inlineStr">
        <is>
          <t>Sveaskog</t>
        </is>
      </c>
      <c r="I468" t="n">
        <v>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11597-2024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45373</v>
      </c>
      <c r="E469" s="1" t="n">
        <v>46315</v>
      </c>
      <c r="F469" t="inlineStr">
        <is>
          <t>KRONOBERGS LÄN</t>
        </is>
      </c>
      <c r="G469" t="inlineStr">
        <is>
          <t>ÄLMHULT</t>
        </is>
      </c>
      <c r="H469" t="inlineStr">
        <is>
          <t>Sveaskog</t>
        </is>
      </c>
      <c r="I469" t="n">
        <v>1.6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56955-2024</t>
        </is>
      </c>
      <c r="B470" t="inlineStr">
        <is>
          <t>avverkningsanmälan</t>
        </is>
      </c>
      <c r="C470" t="inlineStr">
        <is>
          <t>Avverkning för annat ändamål</t>
        </is>
      </c>
      <c r="D470" s="1" t="n">
        <v>45628</v>
      </c>
      <c r="E470" s="1" t="n">
        <v>46315</v>
      </c>
      <c r="F470" t="inlineStr">
        <is>
          <t>KRONOBERGS LÄN</t>
        </is>
      </c>
      <c r="G470" t="inlineStr">
        <is>
          <t>ÄLMHULT</t>
        </is>
      </c>
      <c r="I470" t="n">
        <v>1.5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2445-2024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45311</v>
      </c>
      <c r="E471" s="1" t="n">
        <v>46315</v>
      </c>
      <c r="F471" t="inlineStr">
        <is>
          <t>KRONOBERGS LÄN</t>
        </is>
      </c>
      <c r="G471" t="inlineStr">
        <is>
          <t>ÄLMHULT</t>
        </is>
      </c>
      <c r="I471" t="n">
        <v>0.6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20964-2023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45061</v>
      </c>
      <c r="E472" s="1" t="n">
        <v>46315</v>
      </c>
      <c r="F472" t="inlineStr">
        <is>
          <t>KRONOBERGS LÄN</t>
        </is>
      </c>
      <c r="G472" t="inlineStr">
        <is>
          <t>ÄLMHULT</t>
        </is>
      </c>
      <c r="I472" t="n">
        <v>4.5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59631-2024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45638</v>
      </c>
      <c r="E473" s="1" t="n">
        <v>46315</v>
      </c>
      <c r="F473" t="inlineStr">
        <is>
          <t>KRONOBERGS LÄN</t>
        </is>
      </c>
      <c r="G473" t="inlineStr">
        <is>
          <t>ÄLMHULT</t>
        </is>
      </c>
      <c r="I473" t="n">
        <v>4.7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37793-2026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46279</v>
      </c>
      <c r="E474" s="1" t="n">
        <v>46315</v>
      </c>
      <c r="F474" t="inlineStr">
        <is>
          <t>KRONOBERGS LÄN</t>
        </is>
      </c>
      <c r="G474" t="inlineStr">
        <is>
          <t>ÄLMHULT</t>
        </is>
      </c>
      <c r="I474" t="n">
        <v>2.2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32126-2026</t>
        </is>
      </c>
      <c r="B475" t="inlineStr">
        <is>
          <t>avverkningsanmälan</t>
        </is>
      </c>
      <c r="C475" t="inlineStr">
        <is>
          <t>Avverkning för annat ändamål</t>
        </is>
      </c>
      <c r="D475" s="1" t="n">
        <v>46234</v>
      </c>
      <c r="E475" s="1" t="n">
        <v>46315</v>
      </c>
      <c r="F475" t="inlineStr">
        <is>
          <t>KRONOBERGS LÄN</t>
        </is>
      </c>
      <c r="G475" t="inlineStr">
        <is>
          <t>ÄLMHULT</t>
        </is>
      </c>
      <c r="H475" t="inlineStr">
        <is>
          <t>Kommuner</t>
        </is>
      </c>
      <c r="I475" t="n">
        <v>0.7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59585-2024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45638</v>
      </c>
      <c r="E476" s="1" t="n">
        <v>46315</v>
      </c>
      <c r="F476" t="inlineStr">
        <is>
          <t>KRONOBERGS LÄN</t>
        </is>
      </c>
      <c r="G476" t="inlineStr">
        <is>
          <t>ÄLMHULT</t>
        </is>
      </c>
      <c r="I476" t="n">
        <v>2.6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25707-2023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45090</v>
      </c>
      <c r="E477" s="1" t="n">
        <v>46315</v>
      </c>
      <c r="F477" t="inlineStr">
        <is>
          <t>KRONOBERGS LÄN</t>
        </is>
      </c>
      <c r="G477" t="inlineStr">
        <is>
          <t>ÄLMHULT</t>
        </is>
      </c>
      <c r="I477" t="n">
        <v>0.7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53203-2024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45612</v>
      </c>
      <c r="E478" s="1" t="n">
        <v>46315</v>
      </c>
      <c r="F478" t="inlineStr">
        <is>
          <t>KRONOBERGS LÄN</t>
        </is>
      </c>
      <c r="G478" t="inlineStr">
        <is>
          <t>ÄLMHULT</t>
        </is>
      </c>
      <c r="I478" t="n">
        <v>1.3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19768-2023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45051</v>
      </c>
      <c r="E479" s="1" t="n">
        <v>46315</v>
      </c>
      <c r="F479" t="inlineStr">
        <is>
          <t>KRONOBERGS LÄN</t>
        </is>
      </c>
      <c r="G479" t="inlineStr">
        <is>
          <t>ÄLMHULT</t>
        </is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32784-2026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46240</v>
      </c>
      <c r="E480" s="1" t="n">
        <v>46315</v>
      </c>
      <c r="F480" t="inlineStr">
        <is>
          <t>KRONOBERGS LÄN</t>
        </is>
      </c>
      <c r="G480" t="inlineStr">
        <is>
          <t>ÄLMHULT</t>
        </is>
      </c>
      <c r="H480" t="inlineStr">
        <is>
          <t>Kyrkan</t>
        </is>
      </c>
      <c r="I480" t="n">
        <v>3.7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2253-2023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44942</v>
      </c>
      <c r="E481" s="1" t="n">
        <v>46315</v>
      </c>
      <c r="F481" t="inlineStr">
        <is>
          <t>KRONOBERGS LÄN</t>
        </is>
      </c>
      <c r="G481" t="inlineStr">
        <is>
          <t>ÄLMHULT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32781-2026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46240</v>
      </c>
      <c r="E482" s="1" t="n">
        <v>46315</v>
      </c>
      <c r="F482" t="inlineStr">
        <is>
          <t>KRONOBERGS LÄN</t>
        </is>
      </c>
      <c r="G482" t="inlineStr">
        <is>
          <t>ÄLMHULT</t>
        </is>
      </c>
      <c r="H482" t="inlineStr">
        <is>
          <t>Kyrkan</t>
        </is>
      </c>
      <c r="I482" t="n">
        <v>1.6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32778-2026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46240</v>
      </c>
      <c r="E483" s="1" t="n">
        <v>46315</v>
      </c>
      <c r="F483" t="inlineStr">
        <is>
          <t>KRONOBERGS LÄN</t>
        </is>
      </c>
      <c r="G483" t="inlineStr">
        <is>
          <t>ÄLMHULT</t>
        </is>
      </c>
      <c r="H483" t="inlineStr">
        <is>
          <t>Kyrkan</t>
        </is>
      </c>
      <c r="I483" t="n">
        <v>1.5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6648-2025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45700</v>
      </c>
      <c r="E484" s="1" t="n">
        <v>46315</v>
      </c>
      <c r="F484" t="inlineStr">
        <is>
          <t>KRONOBERGS LÄN</t>
        </is>
      </c>
      <c r="G484" t="inlineStr">
        <is>
          <t>ÄLMHULT</t>
        </is>
      </c>
      <c r="I484" t="n">
        <v>3.3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61971-2024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45653</v>
      </c>
      <c r="E485" s="1" t="n">
        <v>46315</v>
      </c>
      <c r="F485" t="inlineStr">
        <is>
          <t>KRONOBERGS LÄN</t>
        </is>
      </c>
      <c r="G485" t="inlineStr">
        <is>
          <t>ÄLMHULT</t>
        </is>
      </c>
      <c r="I485" t="n">
        <v>0.7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1348-2024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45303</v>
      </c>
      <c r="E486" s="1" t="n">
        <v>46315</v>
      </c>
      <c r="F486" t="inlineStr">
        <is>
          <t>KRONOBERGS LÄN</t>
        </is>
      </c>
      <c r="G486" t="inlineStr">
        <is>
          <t>ÄLMHULT</t>
        </is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49562-2023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45211</v>
      </c>
      <c r="E487" s="1" t="n">
        <v>46315</v>
      </c>
      <c r="F487" t="inlineStr">
        <is>
          <t>KRONOBERGS LÄN</t>
        </is>
      </c>
      <c r="G487" t="inlineStr">
        <is>
          <t>ÄLMHULT</t>
        </is>
      </c>
      <c r="I487" t="n">
        <v>4.1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14280-2023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45010</v>
      </c>
      <c r="E488" s="1" t="n">
        <v>46315</v>
      </c>
      <c r="F488" t="inlineStr">
        <is>
          <t>KRONOBERGS LÄN</t>
        </is>
      </c>
      <c r="G488" t="inlineStr">
        <is>
          <t>ÄLMHULT</t>
        </is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7968-2025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45707</v>
      </c>
      <c r="E489" s="1" t="n">
        <v>46315</v>
      </c>
      <c r="F489" t="inlineStr">
        <is>
          <t>KRONOBERGS LÄN</t>
        </is>
      </c>
      <c r="G489" t="inlineStr">
        <is>
          <t>ÄLMHULT</t>
        </is>
      </c>
      <c r="I489" t="n">
        <v>1.6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49442-2024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45595</v>
      </c>
      <c r="E490" s="1" t="n">
        <v>46315</v>
      </c>
      <c r="F490" t="inlineStr">
        <is>
          <t>KRONOBERGS LÄN</t>
        </is>
      </c>
      <c r="G490" t="inlineStr">
        <is>
          <t>ÄLMHULT</t>
        </is>
      </c>
      <c r="I490" t="n">
        <v>0.5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62812-2023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45271</v>
      </c>
      <c r="E491" s="1" t="n">
        <v>46315</v>
      </c>
      <c r="F491" t="inlineStr">
        <is>
          <t>KRONOBERGS LÄN</t>
        </is>
      </c>
      <c r="G491" t="inlineStr">
        <is>
          <t>ÄLMHULT</t>
        </is>
      </c>
      <c r="I491" t="n">
        <v>8.4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39056-2026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46287</v>
      </c>
      <c r="E492" s="1" t="n">
        <v>46315</v>
      </c>
      <c r="F492" t="inlineStr">
        <is>
          <t>KRONOBERGS LÄN</t>
        </is>
      </c>
      <c r="G492" t="inlineStr">
        <is>
          <t>ÄLMHULT</t>
        </is>
      </c>
      <c r="I492" t="n">
        <v>4.2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38812-2024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45547</v>
      </c>
      <c r="E493" s="1" t="n">
        <v>46315</v>
      </c>
      <c r="F493" t="inlineStr">
        <is>
          <t>KRONOBERGS LÄN</t>
        </is>
      </c>
      <c r="G493" t="inlineStr">
        <is>
          <t>ÄLMHULT</t>
        </is>
      </c>
      <c r="I493" t="n">
        <v>1.3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56853-2023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45244</v>
      </c>
      <c r="E494" s="1" t="n">
        <v>46315</v>
      </c>
      <c r="F494" t="inlineStr">
        <is>
          <t>KRONOBERGS LÄN</t>
        </is>
      </c>
      <c r="G494" t="inlineStr">
        <is>
          <t>ÄLMHULT</t>
        </is>
      </c>
      <c r="I494" t="n">
        <v>0.5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53113-2023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45228</v>
      </c>
      <c r="E495" s="1" t="n">
        <v>46315</v>
      </c>
      <c r="F495" t="inlineStr">
        <is>
          <t>KRONOBERGS LÄN</t>
        </is>
      </c>
      <c r="G495" t="inlineStr">
        <is>
          <t>ÄLMHULT</t>
        </is>
      </c>
      <c r="I495" t="n">
        <v>0.4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58831-2023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45252</v>
      </c>
      <c r="E496" s="1" t="n">
        <v>46315</v>
      </c>
      <c r="F496" t="inlineStr">
        <is>
          <t>KRONOBERGS LÄN</t>
        </is>
      </c>
      <c r="G496" t="inlineStr">
        <is>
          <t>ÄLMHULT</t>
        </is>
      </c>
      <c r="I496" t="n">
        <v>0.5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62172-2022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44922</v>
      </c>
      <c r="E497" s="1" t="n">
        <v>46315</v>
      </c>
      <c r="F497" t="inlineStr">
        <is>
          <t>KRONOBERGS LÄN</t>
        </is>
      </c>
      <c r="G497" t="inlineStr">
        <is>
          <t>ÄLMHULT</t>
        </is>
      </c>
      <c r="I497" t="n">
        <v>1.1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12916-2026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46092</v>
      </c>
      <c r="E498" s="1" t="n">
        <v>46315</v>
      </c>
      <c r="F498" t="inlineStr">
        <is>
          <t>KRONOBERGS LÄN</t>
        </is>
      </c>
      <c r="G498" t="inlineStr">
        <is>
          <t>ÄLMHULT</t>
        </is>
      </c>
      <c r="I498" t="n">
        <v>29.1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3377-2025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45680</v>
      </c>
      <c r="E499" s="1" t="n">
        <v>46315</v>
      </c>
      <c r="F499" t="inlineStr">
        <is>
          <t>KRONOBERGS LÄN</t>
        </is>
      </c>
      <c r="G499" t="inlineStr">
        <is>
          <t>ÄLMHULT</t>
        </is>
      </c>
      <c r="I499" t="n">
        <v>1.4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39102-2026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46287</v>
      </c>
      <c r="E500" s="1" t="n">
        <v>46315</v>
      </c>
      <c r="F500" t="inlineStr">
        <is>
          <t>KRONOBERGS LÄN</t>
        </is>
      </c>
      <c r="G500" t="inlineStr">
        <is>
          <t>ÄLMHULT</t>
        </is>
      </c>
      <c r="I500" t="n">
        <v>5.8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43522-2025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45911</v>
      </c>
      <c r="E501" s="1" t="n">
        <v>46315</v>
      </c>
      <c r="F501" t="inlineStr">
        <is>
          <t>KRONOBERGS LÄN</t>
        </is>
      </c>
      <c r="G501" t="inlineStr">
        <is>
          <t>ÄLMHULT</t>
        </is>
      </c>
      <c r="I501" t="n">
        <v>1.6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8632-2026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46066</v>
      </c>
      <c r="E502" s="1" t="n">
        <v>46315</v>
      </c>
      <c r="F502" t="inlineStr">
        <is>
          <t>KRONOBERGS LÄN</t>
        </is>
      </c>
      <c r="G502" t="inlineStr">
        <is>
          <t>ÄLMHULT</t>
        </is>
      </c>
      <c r="I502" t="n">
        <v>2.7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33105-2026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46245</v>
      </c>
      <c r="E503" s="1" t="n">
        <v>46315</v>
      </c>
      <c r="F503" t="inlineStr">
        <is>
          <t>KRONOBERGS LÄN</t>
        </is>
      </c>
      <c r="G503" t="inlineStr">
        <is>
          <t>ÄLMHULT</t>
        </is>
      </c>
      <c r="I503" t="n">
        <v>3.3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38697-2026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46283</v>
      </c>
      <c r="E504" s="1" t="n">
        <v>46315</v>
      </c>
      <c r="F504" t="inlineStr">
        <is>
          <t>KRONOBERGS LÄN</t>
        </is>
      </c>
      <c r="G504" t="inlineStr">
        <is>
          <t>ÄLMHULT</t>
        </is>
      </c>
      <c r="I504" t="n">
        <v>9.800000000000001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50073-2023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45215</v>
      </c>
      <c r="E505" s="1" t="n">
        <v>46315</v>
      </c>
      <c r="F505" t="inlineStr">
        <is>
          <t>KRONOBERGS LÄN</t>
        </is>
      </c>
      <c r="G505" t="inlineStr">
        <is>
          <t>ÄLMHULT</t>
        </is>
      </c>
      <c r="I505" t="n">
        <v>0.9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39218-2026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46287</v>
      </c>
      <c r="E506" s="1" t="n">
        <v>46315</v>
      </c>
      <c r="F506" t="inlineStr">
        <is>
          <t>KRONOBERGS LÄN</t>
        </is>
      </c>
      <c r="G506" t="inlineStr">
        <is>
          <t>ÄLMHULT</t>
        </is>
      </c>
      <c r="I506" t="n">
        <v>0.8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1365-2024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45303</v>
      </c>
      <c r="E507" s="1" t="n">
        <v>46315</v>
      </c>
      <c r="F507" t="inlineStr">
        <is>
          <t>KRONOBERGS LÄN</t>
        </is>
      </c>
      <c r="G507" t="inlineStr">
        <is>
          <t>ÄLMHULT</t>
        </is>
      </c>
      <c r="I507" t="n">
        <v>1.3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33097-2026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46245</v>
      </c>
      <c r="E508" s="1" t="n">
        <v>46315</v>
      </c>
      <c r="F508" t="inlineStr">
        <is>
          <t>KRONOBERGS LÄN</t>
        </is>
      </c>
      <c r="G508" t="inlineStr">
        <is>
          <t>ÄLMHULT</t>
        </is>
      </c>
      <c r="I508" t="n">
        <v>1.4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33445-2026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46247</v>
      </c>
      <c r="E509" s="1" t="n">
        <v>46315</v>
      </c>
      <c r="F509" t="inlineStr">
        <is>
          <t>KRONOBERGS LÄN</t>
        </is>
      </c>
      <c r="G509" t="inlineStr">
        <is>
          <t>ÄLMHULT</t>
        </is>
      </c>
      <c r="I509" t="n">
        <v>0.5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24248-2026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46168</v>
      </c>
      <c r="E510" s="1" t="n">
        <v>46315</v>
      </c>
      <c r="F510" t="inlineStr">
        <is>
          <t>KRONOBERGS LÄN</t>
        </is>
      </c>
      <c r="G510" t="inlineStr">
        <is>
          <t>ÄLMHULT</t>
        </is>
      </c>
      <c r="I510" t="n">
        <v>4.3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33441-2026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46247</v>
      </c>
      <c r="E511" s="1" t="n">
        <v>46315</v>
      </c>
      <c r="F511" t="inlineStr">
        <is>
          <t>KRONOBERGS LÄN</t>
        </is>
      </c>
      <c r="G511" t="inlineStr">
        <is>
          <t>ÄLMHULT</t>
        </is>
      </c>
      <c r="I511" t="n">
        <v>0.8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22335-2026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46154</v>
      </c>
      <c r="E512" s="1" t="n">
        <v>46315</v>
      </c>
      <c r="F512" t="inlineStr">
        <is>
          <t>KRONOBERGS LÄN</t>
        </is>
      </c>
      <c r="G512" t="inlineStr">
        <is>
          <t>ÄLMHULT</t>
        </is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33261-2026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46246</v>
      </c>
      <c r="E513" s="1" t="n">
        <v>46315</v>
      </c>
      <c r="F513" t="inlineStr">
        <is>
          <t>KRONOBERGS LÄN</t>
        </is>
      </c>
      <c r="G513" t="inlineStr">
        <is>
          <t>ÄLMHULT</t>
        </is>
      </c>
      <c r="I513" t="n">
        <v>1.2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39167-2026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46287</v>
      </c>
      <c r="E514" s="1" t="n">
        <v>46315</v>
      </c>
      <c r="F514" t="inlineStr">
        <is>
          <t>KRONOBERGS LÄN</t>
        </is>
      </c>
      <c r="G514" t="inlineStr">
        <is>
          <t>ÄLMHULT</t>
        </is>
      </c>
      <c r="I514" t="n">
        <v>5.5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39225-2026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46287</v>
      </c>
      <c r="E515" s="1" t="n">
        <v>46315</v>
      </c>
      <c r="F515" t="inlineStr">
        <is>
          <t>KRONOBERGS LÄN</t>
        </is>
      </c>
      <c r="G515" t="inlineStr">
        <is>
          <t>ÄLMHULT</t>
        </is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39798-2026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46290</v>
      </c>
      <c r="E516" s="1" t="n">
        <v>46315</v>
      </c>
      <c r="F516" t="inlineStr">
        <is>
          <t>KRONOBERGS LÄN</t>
        </is>
      </c>
      <c r="G516" t="inlineStr">
        <is>
          <t>ÄLMHULT</t>
        </is>
      </c>
      <c r="I516" t="n">
        <v>0.9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49575-2023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45211</v>
      </c>
      <c r="E517" s="1" t="n">
        <v>46315</v>
      </c>
      <c r="F517" t="inlineStr">
        <is>
          <t>KRONOBERGS LÄN</t>
        </is>
      </c>
      <c r="G517" t="inlineStr">
        <is>
          <t>ÄLMHULT</t>
        </is>
      </c>
      <c r="I517" t="n">
        <v>1.1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48156-2024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45589</v>
      </c>
      <c r="E518" s="1" t="n">
        <v>46315</v>
      </c>
      <c r="F518" t="inlineStr">
        <is>
          <t>KRONOBERGS LÄN</t>
        </is>
      </c>
      <c r="G518" t="inlineStr">
        <is>
          <t>ÄLMHULT</t>
        </is>
      </c>
      <c r="I518" t="n">
        <v>4.4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28693-2023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45103</v>
      </c>
      <c r="E519" s="1" t="n">
        <v>46315</v>
      </c>
      <c r="F519" t="inlineStr">
        <is>
          <t>KRONOBERGS LÄN</t>
        </is>
      </c>
      <c r="G519" t="inlineStr">
        <is>
          <t>ÄLMHULT</t>
        </is>
      </c>
      <c r="I519" t="n">
        <v>0.6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31872-2022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44777</v>
      </c>
      <c r="E520" s="1" t="n">
        <v>46315</v>
      </c>
      <c r="F520" t="inlineStr">
        <is>
          <t>KRONOBERGS LÄN</t>
        </is>
      </c>
      <c r="G520" t="inlineStr">
        <is>
          <t>ÄLMHULT</t>
        </is>
      </c>
      <c r="I520" t="n">
        <v>2.3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61968-2024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45653</v>
      </c>
      <c r="E521" s="1" t="n">
        <v>46315</v>
      </c>
      <c r="F521" t="inlineStr">
        <is>
          <t>KRONOBERGS LÄN</t>
        </is>
      </c>
      <c r="G521" t="inlineStr">
        <is>
          <t>ÄLMHULT</t>
        </is>
      </c>
      <c r="I521" t="n">
        <v>0.6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1051-2026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46030</v>
      </c>
      <c r="E522" s="1" t="n">
        <v>46315</v>
      </c>
      <c r="F522" t="inlineStr">
        <is>
          <t>KRONOBERGS LÄN</t>
        </is>
      </c>
      <c r="G522" t="inlineStr">
        <is>
          <t>ÄLMHULT</t>
        </is>
      </c>
      <c r="I522" t="n">
        <v>1.5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39799-2026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46290</v>
      </c>
      <c r="E523" s="1" t="n">
        <v>46315</v>
      </c>
      <c r="F523" t="inlineStr">
        <is>
          <t>KRONOBERGS LÄN</t>
        </is>
      </c>
      <c r="G523" t="inlineStr">
        <is>
          <t>ÄLMHULT</t>
        </is>
      </c>
      <c r="I523" t="n">
        <v>0.8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39226-2026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46287</v>
      </c>
      <c r="E524" s="1" t="n">
        <v>46315</v>
      </c>
      <c r="F524" t="inlineStr">
        <is>
          <t>KRONOBERGS LÄN</t>
        </is>
      </c>
      <c r="G524" t="inlineStr">
        <is>
          <t>ÄLMHULT</t>
        </is>
      </c>
      <c r="I524" t="n">
        <v>7.3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44502-2025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45916</v>
      </c>
      <c r="E525" s="1" t="n">
        <v>46315</v>
      </c>
      <c r="F525" t="inlineStr">
        <is>
          <t>KRONOBERGS LÄN</t>
        </is>
      </c>
      <c r="G525" t="inlineStr">
        <is>
          <t>ÄLMHULT</t>
        </is>
      </c>
      <c r="I525" t="n">
        <v>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33688-2026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46248</v>
      </c>
      <c r="E526" s="1" t="n">
        <v>46315</v>
      </c>
      <c r="F526" t="inlineStr">
        <is>
          <t>KRONOBERGS LÄN</t>
        </is>
      </c>
      <c r="G526" t="inlineStr">
        <is>
          <t>ÄLMHULT</t>
        </is>
      </c>
      <c r="I526" t="n">
        <v>3.5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7793-2025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45706</v>
      </c>
      <c r="E527" s="1" t="n">
        <v>46315</v>
      </c>
      <c r="F527" t="inlineStr">
        <is>
          <t>KRONOBERGS LÄN</t>
        </is>
      </c>
      <c r="G527" t="inlineStr">
        <is>
          <t>ÄLMHULT</t>
        </is>
      </c>
      <c r="I527" t="n">
        <v>3.6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40317-2026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46294</v>
      </c>
      <c r="E528" s="1" t="n">
        <v>46315</v>
      </c>
      <c r="F528" t="inlineStr">
        <is>
          <t>KRONOBERGS LÄN</t>
        </is>
      </c>
      <c r="G528" t="inlineStr">
        <is>
          <t>ÄLMHULT</t>
        </is>
      </c>
      <c r="I528" t="n">
        <v>4.7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21999-2024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45443</v>
      </c>
      <c r="E529" s="1" t="n">
        <v>46315</v>
      </c>
      <c r="F529" t="inlineStr">
        <is>
          <t>KRONOBERGS LÄN</t>
        </is>
      </c>
      <c r="G529" t="inlineStr">
        <is>
          <t>ÄLMHULT</t>
        </is>
      </c>
      <c r="I529" t="n">
        <v>0.6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13113-2025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45734</v>
      </c>
      <c r="E530" s="1" t="n">
        <v>46315</v>
      </c>
      <c r="F530" t="inlineStr">
        <is>
          <t>KRONOBERGS LÄN</t>
        </is>
      </c>
      <c r="G530" t="inlineStr">
        <is>
          <t>ÄLMHULT</t>
        </is>
      </c>
      <c r="I530" t="n">
        <v>0.8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40318-2026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46294</v>
      </c>
      <c r="E531" s="1" t="n">
        <v>46315</v>
      </c>
      <c r="F531" t="inlineStr">
        <is>
          <t>KRONOBERGS LÄN</t>
        </is>
      </c>
      <c r="G531" t="inlineStr">
        <is>
          <t>ÄLMHULT</t>
        </is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40320-2026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46294</v>
      </c>
      <c r="E532" s="1" t="n">
        <v>46315</v>
      </c>
      <c r="F532" t="inlineStr">
        <is>
          <t>KRONOBERGS LÄN</t>
        </is>
      </c>
      <c r="G532" t="inlineStr">
        <is>
          <t>ÄLMHULT</t>
        </is>
      </c>
      <c r="I532" t="n">
        <v>1.6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62122-2022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44921</v>
      </c>
      <c r="E533" s="1" t="n">
        <v>46315</v>
      </c>
      <c r="F533" t="inlineStr">
        <is>
          <t>KRONOBERGS LÄN</t>
        </is>
      </c>
      <c r="G533" t="inlineStr">
        <is>
          <t>ÄLMHULT</t>
        </is>
      </c>
      <c r="I533" t="n">
        <v>0.6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40067-2026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46293</v>
      </c>
      <c r="E534" s="1" t="n">
        <v>46315</v>
      </c>
      <c r="F534" t="inlineStr">
        <is>
          <t>KRONOBERGS LÄN</t>
        </is>
      </c>
      <c r="G534" t="inlineStr">
        <is>
          <t>ÄLMHULT</t>
        </is>
      </c>
      <c r="H534" t="inlineStr">
        <is>
          <t>Sveaskog</t>
        </is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12339-2024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45378</v>
      </c>
      <c r="E535" s="1" t="n">
        <v>46315</v>
      </c>
      <c r="F535" t="inlineStr">
        <is>
          <t>KRONOBERGS LÄN</t>
        </is>
      </c>
      <c r="G535" t="inlineStr">
        <is>
          <t>ÄLMHULT</t>
        </is>
      </c>
      <c r="I535" t="n">
        <v>2.8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39022-2022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44817</v>
      </c>
      <c r="E536" s="1" t="n">
        <v>46315</v>
      </c>
      <c r="F536" t="inlineStr">
        <is>
          <t>KRONOBERGS LÄN</t>
        </is>
      </c>
      <c r="G536" t="inlineStr">
        <is>
          <t>ÄLMHULT</t>
        </is>
      </c>
      <c r="I536" t="n">
        <v>1.3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34013-2026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46251</v>
      </c>
      <c r="E537" s="1" t="n">
        <v>46315</v>
      </c>
      <c r="F537" t="inlineStr">
        <is>
          <t>KRONOBERGS LÄN</t>
        </is>
      </c>
      <c r="G537" t="inlineStr">
        <is>
          <t>ÄLMHULT</t>
        </is>
      </c>
      <c r="H537" t="inlineStr">
        <is>
          <t>Kyrkan</t>
        </is>
      </c>
      <c r="I537" t="n">
        <v>1.3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17927-2025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45759</v>
      </c>
      <c r="E538" s="1" t="n">
        <v>46315</v>
      </c>
      <c r="F538" t="inlineStr">
        <is>
          <t>KRONOBERGS LÄN</t>
        </is>
      </c>
      <c r="G538" t="inlineStr">
        <is>
          <t>ÄLMHULT</t>
        </is>
      </c>
      <c r="I538" t="n">
        <v>1.8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2829-2024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45314</v>
      </c>
      <c r="E539" s="1" t="n">
        <v>46315</v>
      </c>
      <c r="F539" t="inlineStr">
        <is>
          <t>KRONOBERGS LÄN</t>
        </is>
      </c>
      <c r="G539" t="inlineStr">
        <is>
          <t>ÄLMHULT</t>
        </is>
      </c>
      <c r="I539" t="n">
        <v>2.4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33673-2026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46248</v>
      </c>
      <c r="E540" s="1" t="n">
        <v>46315</v>
      </c>
      <c r="F540" t="inlineStr">
        <is>
          <t>KRONOBERGS LÄN</t>
        </is>
      </c>
      <c r="G540" t="inlineStr">
        <is>
          <t>ÄLMHULT</t>
        </is>
      </c>
      <c r="I540" t="n">
        <v>0.6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48159-2024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45589</v>
      </c>
      <c r="E541" s="1" t="n">
        <v>46315</v>
      </c>
      <c r="F541" t="inlineStr">
        <is>
          <t>KRONOBERGS LÄN</t>
        </is>
      </c>
      <c r="G541" t="inlineStr">
        <is>
          <t>ÄLMHULT</t>
        </is>
      </c>
      <c r="I541" t="n">
        <v>1.6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33894-2026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46251</v>
      </c>
      <c r="E542" s="1" t="n">
        <v>46315</v>
      </c>
      <c r="F542" t="inlineStr">
        <is>
          <t>KRONOBERGS LÄN</t>
        </is>
      </c>
      <c r="G542" t="inlineStr">
        <is>
          <t>ÄLMHULT</t>
        </is>
      </c>
      <c r="I542" t="n">
        <v>2.3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40479-2026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46295</v>
      </c>
      <c r="E543" s="1" t="n">
        <v>46315</v>
      </c>
      <c r="F543" t="inlineStr">
        <is>
          <t>KRONOBERGS LÄN</t>
        </is>
      </c>
      <c r="G543" t="inlineStr">
        <is>
          <t>ÄLMHULT</t>
        </is>
      </c>
      <c r="I543" t="n">
        <v>0.9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40484-2026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46295</v>
      </c>
      <c r="E544" s="1" t="n">
        <v>46315</v>
      </c>
      <c r="F544" t="inlineStr">
        <is>
          <t>KRONOBERGS LÄN</t>
        </is>
      </c>
      <c r="G544" t="inlineStr">
        <is>
          <t>ÄLMHULT</t>
        </is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43140-2024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45567</v>
      </c>
      <c r="E545" s="1" t="n">
        <v>46315</v>
      </c>
      <c r="F545" t="inlineStr">
        <is>
          <t>KRONOBERGS LÄN</t>
        </is>
      </c>
      <c r="G545" t="inlineStr">
        <is>
          <t>ÄLMHULT</t>
        </is>
      </c>
      <c r="I545" t="n">
        <v>0.6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33893-2026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46251</v>
      </c>
      <c r="E546" s="1" t="n">
        <v>46315</v>
      </c>
      <c r="F546" t="inlineStr">
        <is>
          <t>KRONOBERGS LÄN</t>
        </is>
      </c>
      <c r="G546" t="inlineStr">
        <is>
          <t>ÄLMHULT</t>
        </is>
      </c>
      <c r="I546" t="n">
        <v>1.1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2899-2024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45315</v>
      </c>
      <c r="E547" s="1" t="n">
        <v>46315</v>
      </c>
      <c r="F547" t="inlineStr">
        <is>
          <t>KRONOBERGS LÄN</t>
        </is>
      </c>
      <c r="G547" t="inlineStr">
        <is>
          <t>ÄLMHULT</t>
        </is>
      </c>
      <c r="I547" t="n">
        <v>1.1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116-2023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44928</v>
      </c>
      <c r="E548" s="1" t="n">
        <v>46315</v>
      </c>
      <c r="F548" t="inlineStr">
        <is>
          <t>KRONOBERGS LÄN</t>
        </is>
      </c>
      <c r="G548" t="inlineStr">
        <is>
          <t>ÄLMHULT</t>
        </is>
      </c>
      <c r="I548" t="n">
        <v>2.5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48937-2023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45209</v>
      </c>
      <c r="E549" s="1" t="n">
        <v>46315</v>
      </c>
      <c r="F549" t="inlineStr">
        <is>
          <t>KRONOBERGS LÄN</t>
        </is>
      </c>
      <c r="G549" t="inlineStr">
        <is>
          <t>ÄLMHULT</t>
        </is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3573-2025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45680</v>
      </c>
      <c r="E550" s="1" t="n">
        <v>46315</v>
      </c>
      <c r="F550" t="inlineStr">
        <is>
          <t>KRONOBERGS LÄN</t>
        </is>
      </c>
      <c r="G550" t="inlineStr">
        <is>
          <t>ÄLMHULT</t>
        </is>
      </c>
      <c r="I550" t="n">
        <v>0.5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413-2025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45663</v>
      </c>
      <c r="E551" s="1" t="n">
        <v>46315</v>
      </c>
      <c r="F551" t="inlineStr">
        <is>
          <t>KRONOBERGS LÄN</t>
        </is>
      </c>
      <c r="G551" t="inlineStr">
        <is>
          <t>ÄLMHULT</t>
        </is>
      </c>
      <c r="I551" t="n">
        <v>1.5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20840-2025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45776</v>
      </c>
      <c r="E552" s="1" t="n">
        <v>46315</v>
      </c>
      <c r="F552" t="inlineStr">
        <is>
          <t>KRONOBERGS LÄN</t>
        </is>
      </c>
      <c r="G552" t="inlineStr">
        <is>
          <t>ÄLMHULT</t>
        </is>
      </c>
      <c r="I552" t="n">
        <v>3.4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21306-2025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45781</v>
      </c>
      <c r="E553" s="1" t="n">
        <v>46315</v>
      </c>
      <c r="F553" t="inlineStr">
        <is>
          <t>KRONOBERGS LÄN</t>
        </is>
      </c>
      <c r="G553" t="inlineStr">
        <is>
          <t>ÄLMHULT</t>
        </is>
      </c>
      <c r="I553" t="n">
        <v>0.7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56266-2024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45624</v>
      </c>
      <c r="E554" s="1" t="n">
        <v>46315</v>
      </c>
      <c r="F554" t="inlineStr">
        <is>
          <t>KRONOBERGS LÄN</t>
        </is>
      </c>
      <c r="G554" t="inlineStr">
        <is>
          <t>ÄLMHULT</t>
        </is>
      </c>
      <c r="I554" t="n">
        <v>1.6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59454-2024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45638</v>
      </c>
      <c r="E555" s="1" t="n">
        <v>46315</v>
      </c>
      <c r="F555" t="inlineStr">
        <is>
          <t>KRONOBERGS LÄN</t>
        </is>
      </c>
      <c r="G555" t="inlineStr">
        <is>
          <t>ÄLMHULT</t>
        </is>
      </c>
      <c r="I555" t="n">
        <v>2.2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16320-2024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45407</v>
      </c>
      <c r="E556" s="1" t="n">
        <v>46315</v>
      </c>
      <c r="F556" t="inlineStr">
        <is>
          <t>KRONOBERGS LÄN</t>
        </is>
      </c>
      <c r="G556" t="inlineStr">
        <is>
          <t>ÄLMHULT</t>
        </is>
      </c>
      <c r="I556" t="n">
        <v>0.9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41056-2026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46300</v>
      </c>
      <c r="E557" s="1" t="n">
        <v>46315</v>
      </c>
      <c r="F557" t="inlineStr">
        <is>
          <t>KRONOBERGS LÄN</t>
        </is>
      </c>
      <c r="G557" t="inlineStr">
        <is>
          <t>ÄLMHULT</t>
        </is>
      </c>
      <c r="I557" t="n">
        <v>2.8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34848-2024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45527</v>
      </c>
      <c r="E558" s="1" t="n">
        <v>46315</v>
      </c>
      <c r="F558" t="inlineStr">
        <is>
          <t>KRONOBERGS LÄN</t>
        </is>
      </c>
      <c r="G558" t="inlineStr">
        <is>
          <t>ÄLMHULT</t>
        </is>
      </c>
      <c r="I558" t="n">
        <v>1.2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10018-2025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45719</v>
      </c>
      <c r="E559" s="1" t="n">
        <v>46315</v>
      </c>
      <c r="F559" t="inlineStr">
        <is>
          <t>KRONOBERGS LÄN</t>
        </is>
      </c>
      <c r="G559" t="inlineStr">
        <is>
          <t>ÄLMHULT</t>
        </is>
      </c>
      <c r="I559" t="n">
        <v>0.9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34664-2026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46257</v>
      </c>
      <c r="E560" s="1" t="n">
        <v>46315</v>
      </c>
      <c r="F560" t="inlineStr">
        <is>
          <t>KRONOBERGS LÄN</t>
        </is>
      </c>
      <c r="G560" t="inlineStr">
        <is>
          <t>ÄLMHULT</t>
        </is>
      </c>
      <c r="I560" t="n">
        <v>0.5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53214-2024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45612</v>
      </c>
      <c r="E561" s="1" t="n">
        <v>46315</v>
      </c>
      <c r="F561" t="inlineStr">
        <is>
          <t>KRONOBERGS LÄN</t>
        </is>
      </c>
      <c r="G561" t="inlineStr">
        <is>
          <t>ÄLMHULT</t>
        </is>
      </c>
      <c r="I561" t="n">
        <v>2.8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53214-2024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45612</v>
      </c>
      <c r="E562" s="1" t="n">
        <v>46315</v>
      </c>
      <c r="F562" t="inlineStr">
        <is>
          <t>KRONOBERGS LÄN</t>
        </is>
      </c>
      <c r="G562" t="inlineStr">
        <is>
          <t>ÄLMHULT</t>
        </is>
      </c>
      <c r="I562" t="n">
        <v>2.8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34476-2026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46254</v>
      </c>
      <c r="E563" s="1" t="n">
        <v>46315</v>
      </c>
      <c r="F563" t="inlineStr">
        <is>
          <t>KRONOBERGS LÄN</t>
        </is>
      </c>
      <c r="G563" t="inlineStr">
        <is>
          <t>ÄLMHULT</t>
        </is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34477-2026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46254</v>
      </c>
      <c r="E564" s="1" t="n">
        <v>46315</v>
      </c>
      <c r="F564" t="inlineStr">
        <is>
          <t>KRONOBERGS LÄN</t>
        </is>
      </c>
      <c r="G564" t="inlineStr">
        <is>
          <t>ÄLMHULT</t>
        </is>
      </c>
      <c r="I564" t="n">
        <v>0.6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22537-2026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46155</v>
      </c>
      <c r="E565" s="1" t="n">
        <v>46315</v>
      </c>
      <c r="F565" t="inlineStr">
        <is>
          <t>KRONOBERGS LÄN</t>
        </is>
      </c>
      <c r="G565" t="inlineStr">
        <is>
          <t>ÄLMHULT</t>
        </is>
      </c>
      <c r="I565" t="n">
        <v>1.1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34707-2026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46258</v>
      </c>
      <c r="E566" s="1" t="n">
        <v>46315</v>
      </c>
      <c r="F566" t="inlineStr">
        <is>
          <t>KRONOBERGS LÄN</t>
        </is>
      </c>
      <c r="G566" t="inlineStr">
        <is>
          <t>ÄLMHULT</t>
        </is>
      </c>
      <c r="I566" t="n">
        <v>1.5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41609-2026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46302</v>
      </c>
      <c r="E567" s="1" t="n">
        <v>46315</v>
      </c>
      <c r="F567" t="inlineStr">
        <is>
          <t>KRONOBERGS LÄN</t>
        </is>
      </c>
      <c r="G567" t="inlineStr">
        <is>
          <t>ÄLMHULT</t>
        </is>
      </c>
      <c r="I567" t="n">
        <v>1.8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34747-2026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46258</v>
      </c>
      <c r="E568" s="1" t="n">
        <v>46315</v>
      </c>
      <c r="F568" t="inlineStr">
        <is>
          <t>KRONOBERGS LÄN</t>
        </is>
      </c>
      <c r="G568" t="inlineStr">
        <is>
          <t>ÄLMHULT</t>
        </is>
      </c>
      <c r="I568" t="n">
        <v>2.3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48026-2024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45589</v>
      </c>
      <c r="E569" s="1" t="n">
        <v>46315</v>
      </c>
      <c r="F569" t="inlineStr">
        <is>
          <t>KRONOBERGS LÄN</t>
        </is>
      </c>
      <c r="G569" t="inlineStr">
        <is>
          <t>ÄLMHULT</t>
        </is>
      </c>
      <c r="I569" t="n">
        <v>1.5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24722-2025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45799</v>
      </c>
      <c r="E570" s="1" t="n">
        <v>46315</v>
      </c>
      <c r="F570" t="inlineStr">
        <is>
          <t>KRONOBERGS LÄN</t>
        </is>
      </c>
      <c r="G570" t="inlineStr">
        <is>
          <t>ÄLMHULT</t>
        </is>
      </c>
      <c r="I570" t="n">
        <v>3.8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24638-2024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45460</v>
      </c>
      <c r="E571" s="1" t="n">
        <v>46315</v>
      </c>
      <c r="F571" t="inlineStr">
        <is>
          <t>KRONOBERGS LÄN</t>
        </is>
      </c>
      <c r="G571" t="inlineStr">
        <is>
          <t>ÄLMHULT</t>
        </is>
      </c>
      <c r="I571" t="n">
        <v>1.1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15988-2024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45405</v>
      </c>
      <c r="E572" s="1" t="n">
        <v>46315</v>
      </c>
      <c r="F572" t="inlineStr">
        <is>
          <t>KRONOBERGS LÄN</t>
        </is>
      </c>
      <c r="G572" t="inlineStr">
        <is>
          <t>ÄLMHULT</t>
        </is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7143-2025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45702</v>
      </c>
      <c r="E573" s="1" t="n">
        <v>46315</v>
      </c>
      <c r="F573" t="inlineStr">
        <is>
          <t>KRONOBERGS LÄN</t>
        </is>
      </c>
      <c r="G573" t="inlineStr">
        <is>
          <t>ÄLMHULT</t>
        </is>
      </c>
      <c r="I573" t="n">
        <v>1.2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41816-2026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46303</v>
      </c>
      <c r="E574" s="1" t="n">
        <v>46315</v>
      </c>
      <c r="F574" t="inlineStr">
        <is>
          <t>KRONOBERGS LÄN</t>
        </is>
      </c>
      <c r="G574" t="inlineStr">
        <is>
          <t>ÄLMHULT</t>
        </is>
      </c>
      <c r="I574" t="n">
        <v>0.7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418-2025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45663</v>
      </c>
      <c r="E575" s="1" t="n">
        <v>46315</v>
      </c>
      <c r="F575" t="inlineStr">
        <is>
          <t>KRONOBERGS LÄN</t>
        </is>
      </c>
      <c r="G575" t="inlineStr">
        <is>
          <t>ÄLMHULT</t>
        </is>
      </c>
      <c r="I575" t="n">
        <v>2.7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64618-2021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44511</v>
      </c>
      <c r="E576" s="1" t="n">
        <v>46315</v>
      </c>
      <c r="F576" t="inlineStr">
        <is>
          <t>KRONOBERGS LÄN</t>
        </is>
      </c>
      <c r="G576" t="inlineStr">
        <is>
          <t>ÄLMHULT</t>
        </is>
      </c>
      <c r="I576" t="n">
        <v>1.4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64624-2021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44511</v>
      </c>
      <c r="E577" s="1" t="n">
        <v>46315</v>
      </c>
      <c r="F577" t="inlineStr">
        <is>
          <t>KRONOBERGS LÄN</t>
        </is>
      </c>
      <c r="G577" t="inlineStr">
        <is>
          <t>ÄLMHULT</t>
        </is>
      </c>
      <c r="I577" t="n">
        <v>1.4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35338-2026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46261</v>
      </c>
      <c r="E578" s="1" t="n">
        <v>46315</v>
      </c>
      <c r="F578" t="inlineStr">
        <is>
          <t>KRONOBERGS LÄN</t>
        </is>
      </c>
      <c r="G578" t="inlineStr">
        <is>
          <t>ÄLMHULT</t>
        </is>
      </c>
      <c r="I578" t="n">
        <v>1.1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25865-2025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45804</v>
      </c>
      <c r="E579" s="1" t="n">
        <v>46315</v>
      </c>
      <c r="F579" t="inlineStr">
        <is>
          <t>KRONOBERGS LÄN</t>
        </is>
      </c>
      <c r="G579" t="inlineStr">
        <is>
          <t>ÄLMHULT</t>
        </is>
      </c>
      <c r="I579" t="n">
        <v>0.5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41813-2026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46303</v>
      </c>
      <c r="E580" s="1" t="n">
        <v>46315</v>
      </c>
      <c r="F580" t="inlineStr">
        <is>
          <t>KRONOBERGS LÄN</t>
        </is>
      </c>
      <c r="G580" t="inlineStr">
        <is>
          <t>ÄLMHULT</t>
        </is>
      </c>
      <c r="I580" t="n">
        <v>3.4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42255-2026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46307</v>
      </c>
      <c r="E581" s="1" t="n">
        <v>46315</v>
      </c>
      <c r="F581" t="inlineStr">
        <is>
          <t>KRONOBERGS LÄN</t>
        </is>
      </c>
      <c r="G581" t="inlineStr">
        <is>
          <t>ÄLMHULT</t>
        </is>
      </c>
      <c r="I581" t="n">
        <v>1.8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42358-2026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46307</v>
      </c>
      <c r="E582" s="1" t="n">
        <v>46315</v>
      </c>
      <c r="F582" t="inlineStr">
        <is>
          <t>KRONOBERGS LÄN</t>
        </is>
      </c>
      <c r="G582" t="inlineStr">
        <is>
          <t>ÄLMHULT</t>
        </is>
      </c>
      <c r="I582" t="n">
        <v>1.1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42355-2026</t>
        </is>
      </c>
      <c r="B583" t="inlineStr">
        <is>
          <t>avverkningsanmälan</t>
        </is>
      </c>
      <c r="C583" t="inlineStr">
        <is>
          <t>Avverkning för annat ändamål</t>
        </is>
      </c>
      <c r="D583" s="1" t="n">
        <v>46307</v>
      </c>
      <c r="E583" s="1" t="n">
        <v>46315</v>
      </c>
      <c r="F583" t="inlineStr">
        <is>
          <t>KRONOBERGS LÄN</t>
        </is>
      </c>
      <c r="G583" t="inlineStr">
        <is>
          <t>ÄLMHULT</t>
        </is>
      </c>
      <c r="I583" t="n">
        <v>2.4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42257-2026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46307</v>
      </c>
      <c r="E584" s="1" t="n">
        <v>46315</v>
      </c>
      <c r="F584" t="inlineStr">
        <is>
          <t>KRONOBERGS LÄN</t>
        </is>
      </c>
      <c r="G584" t="inlineStr">
        <is>
          <t>ÄLMHULT</t>
        </is>
      </c>
      <c r="I584" t="n">
        <v>3.4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39125-2024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45548</v>
      </c>
      <c r="E585" s="1" t="n">
        <v>46315</v>
      </c>
      <c r="F585" t="inlineStr">
        <is>
          <t>KRONOBERGS LÄN</t>
        </is>
      </c>
      <c r="G585" t="inlineStr">
        <is>
          <t>ÄLMHULT</t>
        </is>
      </c>
      <c r="I585" t="n">
        <v>1.6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28301-2025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45818</v>
      </c>
      <c r="E586" s="1" t="n">
        <v>46315</v>
      </c>
      <c r="F586" t="inlineStr">
        <is>
          <t>KRONOBERGS LÄN</t>
        </is>
      </c>
      <c r="G586" t="inlineStr">
        <is>
          <t>ÄLMHULT</t>
        </is>
      </c>
      <c r="I586" t="n">
        <v>4.3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5865-2025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45695</v>
      </c>
      <c r="E587" s="1" t="n">
        <v>46315</v>
      </c>
      <c r="F587" t="inlineStr">
        <is>
          <t>KRONOBERGS LÄN</t>
        </is>
      </c>
      <c r="G587" t="inlineStr">
        <is>
          <t>ÄLMHULT</t>
        </is>
      </c>
      <c r="I587" t="n">
        <v>1.4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35478-2026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46262</v>
      </c>
      <c r="E588" s="1" t="n">
        <v>46315</v>
      </c>
      <c r="F588" t="inlineStr">
        <is>
          <t>KRONOBERGS LÄN</t>
        </is>
      </c>
      <c r="G588" t="inlineStr">
        <is>
          <t>ÄLMHULT</t>
        </is>
      </c>
      <c r="I588" t="n">
        <v>1.7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5777-2024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45335</v>
      </c>
      <c r="E589" s="1" t="n">
        <v>46315</v>
      </c>
      <c r="F589" t="inlineStr">
        <is>
          <t>KRONOBERGS LÄN</t>
        </is>
      </c>
      <c r="G589" t="inlineStr">
        <is>
          <t>ÄLMHULT</t>
        </is>
      </c>
      <c r="I589" t="n">
        <v>8.300000000000001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21470-2024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45441</v>
      </c>
      <c r="E590" s="1" t="n">
        <v>46315</v>
      </c>
      <c r="F590" t="inlineStr">
        <is>
          <t>KRONOBERGS LÄN</t>
        </is>
      </c>
      <c r="G590" t="inlineStr">
        <is>
          <t>ÄLMHULT</t>
        </is>
      </c>
      <c r="I590" t="n">
        <v>2.5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5710-2024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45334</v>
      </c>
      <c r="E591" s="1" t="n">
        <v>46315</v>
      </c>
      <c r="F591" t="inlineStr">
        <is>
          <t>KRONOBERGS LÄN</t>
        </is>
      </c>
      <c r="G591" t="inlineStr">
        <is>
          <t>ÄLMHULT</t>
        </is>
      </c>
      <c r="I591" t="n">
        <v>4.8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36133-2026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46267</v>
      </c>
      <c r="E592" s="1" t="n">
        <v>46315</v>
      </c>
      <c r="F592" t="inlineStr">
        <is>
          <t>KRONOBERGS LÄN</t>
        </is>
      </c>
      <c r="G592" t="inlineStr">
        <is>
          <t>ÄLMHULT</t>
        </is>
      </c>
      <c r="I592" t="n">
        <v>0.6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31761-2025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45834</v>
      </c>
      <c r="E593" s="1" t="n">
        <v>46315</v>
      </c>
      <c r="F593" t="inlineStr">
        <is>
          <t>KRONOBERGS LÄN</t>
        </is>
      </c>
      <c r="G593" t="inlineStr">
        <is>
          <t>ÄLMHULT</t>
        </is>
      </c>
      <c r="I593" t="n">
        <v>5.5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32233-2025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45835</v>
      </c>
      <c r="E594" s="1" t="n">
        <v>46315</v>
      </c>
      <c r="F594" t="inlineStr">
        <is>
          <t>KRONOBERGS LÄN</t>
        </is>
      </c>
      <c r="G594" t="inlineStr">
        <is>
          <t>ÄLMHULT</t>
        </is>
      </c>
      <c r="I594" t="n">
        <v>0.6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12718-2022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44641</v>
      </c>
      <c r="E595" s="1" t="n">
        <v>46315</v>
      </c>
      <c r="F595" t="inlineStr">
        <is>
          <t>KRONOBERGS LÄN</t>
        </is>
      </c>
      <c r="G595" t="inlineStr">
        <is>
          <t>ÄLMHULT</t>
        </is>
      </c>
      <c r="I595" t="n">
        <v>2.9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32825-2025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45839</v>
      </c>
      <c r="E596" s="1" t="n">
        <v>46315</v>
      </c>
      <c r="F596" t="inlineStr">
        <is>
          <t>KRONOBERGS LÄN</t>
        </is>
      </c>
      <c r="G596" t="inlineStr">
        <is>
          <t>ÄLMHULT</t>
        </is>
      </c>
      <c r="I596" t="n">
        <v>3.9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33858-2025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45842</v>
      </c>
      <c r="E597" s="1" t="n">
        <v>46315</v>
      </c>
      <c r="F597" t="inlineStr">
        <is>
          <t>KRONOBERGS LÄN</t>
        </is>
      </c>
      <c r="G597" t="inlineStr">
        <is>
          <t>ÄLMHULT</t>
        </is>
      </c>
      <c r="I597" t="n">
        <v>14.1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33754-2025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45842</v>
      </c>
      <c r="E598" s="1" t="n">
        <v>46315</v>
      </c>
      <c r="F598" t="inlineStr">
        <is>
          <t>KRONOBERGS LÄN</t>
        </is>
      </c>
      <c r="G598" t="inlineStr">
        <is>
          <t>ÄLMHULT</t>
        </is>
      </c>
      <c r="I598" t="n">
        <v>1.3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33771-2025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45842</v>
      </c>
      <c r="E599" s="1" t="n">
        <v>46315</v>
      </c>
      <c r="F599" t="inlineStr">
        <is>
          <t>KRONOBERGS LÄN</t>
        </is>
      </c>
      <c r="G599" t="inlineStr">
        <is>
          <t>ÄLMHULT</t>
        </is>
      </c>
      <c r="I599" t="n">
        <v>0.5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33311-2025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45841</v>
      </c>
      <c r="E600" s="1" t="n">
        <v>46315</v>
      </c>
      <c r="F600" t="inlineStr">
        <is>
          <t>KRONOBERGS LÄN</t>
        </is>
      </c>
      <c r="G600" t="inlineStr">
        <is>
          <t>ÄLMHULT</t>
        </is>
      </c>
      <c r="I600" t="n">
        <v>0.6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35103-2024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45529</v>
      </c>
      <c r="E601" s="1" t="n">
        <v>46315</v>
      </c>
      <c r="F601" t="inlineStr">
        <is>
          <t>KRONOBERGS LÄN</t>
        </is>
      </c>
      <c r="G601" t="inlineStr">
        <is>
          <t>ÄLMHULT</t>
        </is>
      </c>
      <c r="I601" t="n">
        <v>1.3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34384-2025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45846</v>
      </c>
      <c r="E602" s="1" t="n">
        <v>46315</v>
      </c>
      <c r="F602" t="inlineStr">
        <is>
          <t>KRONOBERGS LÄN</t>
        </is>
      </c>
      <c r="G602" t="inlineStr">
        <is>
          <t>ÄLMHULT</t>
        </is>
      </c>
      <c r="I602" t="n">
        <v>7.5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36376-2026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46268</v>
      </c>
      <c r="E603" s="1" t="n">
        <v>46315</v>
      </c>
      <c r="F603" t="inlineStr">
        <is>
          <t>KRONOBERGS LÄN</t>
        </is>
      </c>
      <c r="G603" t="inlineStr">
        <is>
          <t>ÄLMHULT</t>
        </is>
      </c>
      <c r="I603" t="n">
        <v>0.8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34048-2025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45845</v>
      </c>
      <c r="E604" s="1" t="n">
        <v>46315</v>
      </c>
      <c r="F604" t="inlineStr">
        <is>
          <t>KRONOBERGS LÄN</t>
        </is>
      </c>
      <c r="G604" t="inlineStr">
        <is>
          <t>ÄLMHULT</t>
        </is>
      </c>
      <c r="I604" t="n">
        <v>0.5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43322-2026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46314</v>
      </c>
      <c r="E605" s="1" t="n">
        <v>46315</v>
      </c>
      <c r="F605" t="inlineStr">
        <is>
          <t>KRONOBERGS LÄN</t>
        </is>
      </c>
      <c r="G605" t="inlineStr">
        <is>
          <t>ÄLMHULT</t>
        </is>
      </c>
      <c r="I605" t="n">
        <v>3.2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11348-2025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45726</v>
      </c>
      <c r="E606" s="1" t="n">
        <v>46315</v>
      </c>
      <c r="F606" t="inlineStr">
        <is>
          <t>KRONOBERGS LÄN</t>
        </is>
      </c>
      <c r="G606" t="inlineStr">
        <is>
          <t>ÄLMHULT</t>
        </is>
      </c>
      <c r="I606" t="n">
        <v>1.9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11352-2025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45726</v>
      </c>
      <c r="E607" s="1" t="n">
        <v>46315</v>
      </c>
      <c r="F607" t="inlineStr">
        <is>
          <t>KRONOBERGS LÄN</t>
        </is>
      </c>
      <c r="G607" t="inlineStr">
        <is>
          <t>ÄLMHULT</t>
        </is>
      </c>
      <c r="I607" t="n">
        <v>2.6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35346-2025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45854</v>
      </c>
      <c r="E608" s="1" t="n">
        <v>46315</v>
      </c>
      <c r="F608" t="inlineStr">
        <is>
          <t>KRONOBERGS LÄN</t>
        </is>
      </c>
      <c r="G608" t="inlineStr">
        <is>
          <t>ÄLMHULT</t>
        </is>
      </c>
      <c r="I608" t="n">
        <v>0.6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18749-2025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45763</v>
      </c>
      <c r="E609" s="1" t="n">
        <v>46315</v>
      </c>
      <c r="F609" t="inlineStr">
        <is>
          <t>KRONOBERGS LÄN</t>
        </is>
      </c>
      <c r="G609" t="inlineStr">
        <is>
          <t>ÄLMHULT</t>
        </is>
      </c>
      <c r="I609" t="n">
        <v>1.8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18750-2025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45763</v>
      </c>
      <c r="E610" s="1" t="n">
        <v>46315</v>
      </c>
      <c r="F610" t="inlineStr">
        <is>
          <t>KRONOBERGS LÄN</t>
        </is>
      </c>
      <c r="G610" t="inlineStr">
        <is>
          <t>ÄLMHULT</t>
        </is>
      </c>
      <c r="I610" t="n">
        <v>2.1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46067-2024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45581</v>
      </c>
      <c r="E611" s="1" t="n">
        <v>46315</v>
      </c>
      <c r="F611" t="inlineStr">
        <is>
          <t>KRONOBERGS LÄN</t>
        </is>
      </c>
      <c r="G611" t="inlineStr">
        <is>
          <t>ÄLMHULT</t>
        </is>
      </c>
      <c r="I611" t="n">
        <v>5.7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43273-2026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46314</v>
      </c>
      <c r="E612" s="1" t="n">
        <v>46315</v>
      </c>
      <c r="F612" t="inlineStr">
        <is>
          <t>KRONOBERGS LÄN</t>
        </is>
      </c>
      <c r="G612" t="inlineStr">
        <is>
          <t>ÄLMHULT</t>
        </is>
      </c>
      <c r="I612" t="n">
        <v>1.5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28665-2025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45819</v>
      </c>
      <c r="E613" s="1" t="n">
        <v>46315</v>
      </c>
      <c r="F613" t="inlineStr">
        <is>
          <t>KRONOBERGS LÄN</t>
        </is>
      </c>
      <c r="G613" t="inlineStr">
        <is>
          <t>ÄLMHULT</t>
        </is>
      </c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8887-2023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44979</v>
      </c>
      <c r="E614" s="1" t="n">
        <v>46315</v>
      </c>
      <c r="F614" t="inlineStr">
        <is>
          <t>KRONOBERGS LÄN</t>
        </is>
      </c>
      <c r="G614" t="inlineStr">
        <is>
          <t>ÄLMHULT</t>
        </is>
      </c>
      <c r="I614" t="n">
        <v>1.9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43194-2026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46313</v>
      </c>
      <c r="E615" s="1" t="n">
        <v>46315</v>
      </c>
      <c r="F615" t="inlineStr">
        <is>
          <t>KRONOBERGS LÄN</t>
        </is>
      </c>
      <c r="G615" t="inlineStr">
        <is>
          <t>ÄLMHULT</t>
        </is>
      </c>
      <c r="I615" t="n">
        <v>0.8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27424-2025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45812</v>
      </c>
      <c r="E616" s="1" t="n">
        <v>46315</v>
      </c>
      <c r="F616" t="inlineStr">
        <is>
          <t>KRONOBERGS LÄN</t>
        </is>
      </c>
      <c r="G616" t="inlineStr">
        <is>
          <t>ÄLMHULT</t>
        </is>
      </c>
      <c r="I616" t="n">
        <v>0.9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58045-2024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45631</v>
      </c>
      <c r="E617" s="1" t="n">
        <v>46315</v>
      </c>
      <c r="F617" t="inlineStr">
        <is>
          <t>KRONOBERGS LÄN</t>
        </is>
      </c>
      <c r="G617" t="inlineStr">
        <is>
          <t>ÄLMHULT</t>
        </is>
      </c>
      <c r="I617" t="n">
        <v>0.8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11341-2025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45726</v>
      </c>
      <c r="E618" s="1" t="n">
        <v>46315</v>
      </c>
      <c r="F618" t="inlineStr">
        <is>
          <t>KRONOBERGS LÄN</t>
        </is>
      </c>
      <c r="G618" t="inlineStr">
        <is>
          <t>ÄLMHULT</t>
        </is>
      </c>
      <c r="I618" t="n">
        <v>2.9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36157-2025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45867</v>
      </c>
      <c r="E619" s="1" t="n">
        <v>46315</v>
      </c>
      <c r="F619" t="inlineStr">
        <is>
          <t>KRONOBERGS LÄN</t>
        </is>
      </c>
      <c r="G619" t="inlineStr">
        <is>
          <t>ÄLMHULT</t>
        </is>
      </c>
      <c r="I619" t="n">
        <v>1.2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46065-2024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45581</v>
      </c>
      <c r="E620" s="1" t="n">
        <v>46315</v>
      </c>
      <c r="F620" t="inlineStr">
        <is>
          <t>KRONOBERGS LÄN</t>
        </is>
      </c>
      <c r="G620" t="inlineStr">
        <is>
          <t>ÄLMHULT</t>
        </is>
      </c>
      <c r="I620" t="n">
        <v>3.3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28026-2024</t>
        </is>
      </c>
      <c r="B621" t="inlineStr">
        <is>
          <t>avverkningsanmälan</t>
        </is>
      </c>
      <c r="C621" t="inlineStr">
        <is>
          <t>Avverkning för annat ändamål</t>
        </is>
      </c>
      <c r="D621" s="1" t="n">
        <v>45476</v>
      </c>
      <c r="E621" s="1" t="n">
        <v>46315</v>
      </c>
      <c r="F621" t="inlineStr">
        <is>
          <t>KRONOBERGS LÄN</t>
        </is>
      </c>
      <c r="G621" t="inlineStr">
        <is>
          <t>ÄLMHULT</t>
        </is>
      </c>
      <c r="I621" t="n">
        <v>11.8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S 1420-2022</t>
        </is>
      </c>
      <c r="B622" t="inlineStr">
        <is>
          <t>samrådsanmälan</t>
        </is>
      </c>
      <c r="C622" t="inlineStr">
        <is>
          <t>Skogsbilväg</t>
        </is>
      </c>
      <c r="D622" s="1" t="n">
        <v>44634</v>
      </c>
      <c r="E622" s="1" t="n">
        <v>46315</v>
      </c>
      <c r="F622" t="inlineStr">
        <is>
          <t>KRONOBERGS LÄN</t>
        </is>
      </c>
      <c r="G622" t="inlineStr">
        <is>
          <t>ÄLMHULT</t>
        </is>
      </c>
      <c r="I622" t="n">
        <v>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S 1835-2022</t>
        </is>
      </c>
      <c r="B623" t="inlineStr">
        <is>
          <t>samrådsanmälan</t>
        </is>
      </c>
      <c r="C623" t="inlineStr">
        <is>
          <t>Åtgärd i nyckelbiotop</t>
        </is>
      </c>
      <c r="D623" s="1" t="n">
        <v>44658</v>
      </c>
      <c r="E623" s="1" t="n">
        <v>46315</v>
      </c>
      <c r="F623" t="inlineStr">
        <is>
          <t>KRONOBERGS LÄN</t>
        </is>
      </c>
      <c r="G623" t="inlineStr">
        <is>
          <t>ÄLMHULT</t>
        </is>
      </c>
      <c r="I623" t="n">
        <v>1.4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S 1203-2022</t>
        </is>
      </c>
      <c r="B624" t="inlineStr">
        <is>
          <t>samrådsanmälan</t>
        </is>
      </c>
      <c r="C624" t="inlineStr">
        <is>
          <t>Askåterföring</t>
        </is>
      </c>
      <c r="D624" s="1" t="n">
        <v>44621</v>
      </c>
      <c r="E624" s="1" t="n">
        <v>46315</v>
      </c>
      <c r="F624" t="inlineStr">
        <is>
          <t>KRONOBERGS LÄN</t>
        </is>
      </c>
      <c r="G624" t="inlineStr">
        <is>
          <t>ÄLMHULT</t>
        </is>
      </c>
      <c r="I624" t="n">
        <v>44.9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S 901-2022</t>
        </is>
      </c>
      <c r="B625" t="inlineStr">
        <is>
          <t>samrådsanmälan</t>
        </is>
      </c>
      <c r="C625" t="inlineStr">
        <is>
          <t>Annan skogsbruksåtgärd</t>
        </is>
      </c>
      <c r="D625" s="1" t="n">
        <v>44607</v>
      </c>
      <c r="E625" s="1" t="n">
        <v>46315</v>
      </c>
      <c r="F625" t="inlineStr">
        <is>
          <t>KRONOBERGS LÄN</t>
        </is>
      </c>
      <c r="G625" t="inlineStr">
        <is>
          <t>ÄLMHULT</t>
        </is>
      </c>
      <c r="I625" t="n">
        <v>0.7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S 3507-2022</t>
        </is>
      </c>
      <c r="B626" t="inlineStr">
        <is>
          <t>samrådsanmälan</t>
        </is>
      </c>
      <c r="C626" t="inlineStr">
        <is>
          <t>Annan skogsbruksåtgärd</t>
        </is>
      </c>
      <c r="D626" s="1" t="n">
        <v>44733</v>
      </c>
      <c r="E626" s="1" t="n">
        <v>46315</v>
      </c>
      <c r="F626" t="inlineStr">
        <is>
          <t>KRONOBERGS LÄN</t>
        </is>
      </c>
      <c r="G626" t="inlineStr">
        <is>
          <t>ÄLMHULT</t>
        </is>
      </c>
      <c r="H626" t="inlineStr">
        <is>
          <t>Kyrkan</t>
        </is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S 106-2024</t>
        </is>
      </c>
      <c r="B627" t="inlineStr">
        <is>
          <t>samrådsanmälan</t>
        </is>
      </c>
      <c r="C627" t="inlineStr">
        <is>
          <t>Annan skogsbruksåtgärd</t>
        </is>
      </c>
      <c r="D627" s="1" t="n">
        <v>45302</v>
      </c>
      <c r="E627" s="1" t="n">
        <v>46315</v>
      </c>
      <c r="F627" t="inlineStr">
        <is>
          <t>KRONOBERGS LÄN</t>
        </is>
      </c>
      <c r="G627" t="inlineStr">
        <is>
          <t>ÄLMHULT</t>
        </is>
      </c>
      <c r="I627" t="n">
        <v>0.8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S 2570-2024</t>
        </is>
      </c>
      <c r="B628" t="inlineStr">
        <is>
          <t>samrådsanmälan</t>
        </is>
      </c>
      <c r="C628" t="inlineStr">
        <is>
          <t>Askåterföring</t>
        </is>
      </c>
      <c r="D628" s="1" t="n">
        <v>45476</v>
      </c>
      <c r="E628" s="1" t="n">
        <v>46315</v>
      </c>
      <c r="F628" t="inlineStr">
        <is>
          <t>KRONOBERGS LÄN</t>
        </is>
      </c>
      <c r="G628" t="inlineStr">
        <is>
          <t>ÄLMHULT</t>
        </is>
      </c>
      <c r="I628" t="n">
        <v>27.8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S 5163-2024</t>
        </is>
      </c>
      <c r="B629" t="inlineStr">
        <is>
          <t>samrådsanmälan</t>
        </is>
      </c>
      <c r="C629" t="inlineStr">
        <is>
          <t>Annan skogsbruksåtgärd</t>
        </is>
      </c>
      <c r="D629" s="1" t="n">
        <v>45649</v>
      </c>
      <c r="E629" s="1" t="n">
        <v>46315</v>
      </c>
      <c r="F629" t="inlineStr">
        <is>
          <t>KRONOBERGS LÄN</t>
        </is>
      </c>
      <c r="G629" t="inlineStr">
        <is>
          <t>ÄLMHULT</t>
        </is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S 786-2025</t>
        </is>
      </c>
      <c r="B630" t="inlineStr">
        <is>
          <t>samrådsanmälan</t>
        </is>
      </c>
      <c r="C630" t="inlineStr">
        <is>
          <t>Annan skogsbruksåtgärd</t>
        </is>
      </c>
      <c r="D630" s="1" t="n">
        <v>45728</v>
      </c>
      <c r="E630" s="1" t="n">
        <v>46315</v>
      </c>
      <c r="F630" t="inlineStr">
        <is>
          <t>KRONOBERGS LÄN</t>
        </is>
      </c>
      <c r="G630" t="inlineStr">
        <is>
          <t>ÄLMHULT</t>
        </is>
      </c>
      <c r="I630" t="n">
        <v>0.6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S 3003-2025</t>
        </is>
      </c>
      <c r="B631" t="inlineStr">
        <is>
          <t>samrådsanmälan</t>
        </is>
      </c>
      <c r="C631" t="inlineStr">
        <is>
          <t>Annan skogsbruksåtgärd</t>
        </is>
      </c>
      <c r="D631" s="1" t="n">
        <v>45953</v>
      </c>
      <c r="E631" s="1" t="n">
        <v>46315</v>
      </c>
      <c r="F631" t="inlineStr">
        <is>
          <t>KRONOBERGS LÄN</t>
        </is>
      </c>
      <c r="G631" t="inlineStr">
        <is>
          <t>ÄLMHULT</t>
        </is>
      </c>
      <c r="I631" t="n">
        <v>2.1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S 3102-2025</t>
        </is>
      </c>
      <c r="B632" t="inlineStr">
        <is>
          <t>samrådsanmälan</t>
        </is>
      </c>
      <c r="C632" t="inlineStr">
        <is>
          <t>Annan skogsbruksåtgärd</t>
        </is>
      </c>
      <c r="D632" s="1" t="n">
        <v>45967</v>
      </c>
      <c r="E632" s="1" t="n">
        <v>46315</v>
      </c>
      <c r="F632" t="inlineStr">
        <is>
          <t>KRONOBERGS LÄN</t>
        </is>
      </c>
      <c r="G632" t="inlineStr">
        <is>
          <t>ÄLMHULT</t>
        </is>
      </c>
      <c r="I632" t="n">
        <v>1.1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S 3553-2025</t>
        </is>
      </c>
      <c r="B633" t="inlineStr">
        <is>
          <t>samrådsanmälan</t>
        </is>
      </c>
      <c r="C633" t="inlineStr">
        <is>
          <t>Annan skogsbruksåtgärd</t>
        </is>
      </c>
      <c r="D633" s="1" t="n">
        <v>46010</v>
      </c>
      <c r="E633" s="1" t="n">
        <v>46315</v>
      </c>
      <c r="F633" t="inlineStr">
        <is>
          <t>KRONOBERGS LÄN</t>
        </is>
      </c>
      <c r="G633" t="inlineStr">
        <is>
          <t>ÄLMHULT</t>
        </is>
      </c>
      <c r="I633" t="n">
        <v>0.3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S 3552-2025</t>
        </is>
      </c>
      <c r="B634" t="inlineStr">
        <is>
          <t>samrådsanmälan</t>
        </is>
      </c>
      <c r="C634" t="inlineStr">
        <is>
          <t>Annan skogsbruksåtgärd</t>
        </is>
      </c>
      <c r="D634" s="1" t="n">
        <v>46010</v>
      </c>
      <c r="E634" s="1" t="n">
        <v>46315</v>
      </c>
      <c r="F634" t="inlineStr">
        <is>
          <t>KRONOBERGS LÄN</t>
        </is>
      </c>
      <c r="G634" t="inlineStr">
        <is>
          <t>ÄLMHULT</t>
        </is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S 37-2026</t>
        </is>
      </c>
      <c r="B635" t="inlineStr">
        <is>
          <t>samrådsanmälan</t>
        </is>
      </c>
      <c r="C635" t="inlineStr">
        <is>
          <t>Annan skogsbruksåtgärd</t>
        </is>
      </c>
      <c r="D635" s="1" t="n">
        <v>46029</v>
      </c>
      <c r="E635" s="1" t="n">
        <v>46315</v>
      </c>
      <c r="F635" t="inlineStr">
        <is>
          <t>KRONOBERGS LÄN</t>
        </is>
      </c>
      <c r="G635" t="inlineStr">
        <is>
          <t>ÄLMHULT</t>
        </is>
      </c>
      <c r="H635" t="inlineStr">
        <is>
          <t>Sveaskog</t>
        </is>
      </c>
      <c r="I635" t="n">
        <v>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S 532-2026</t>
        </is>
      </c>
      <c r="B636" t="inlineStr">
        <is>
          <t>samrådsanmälan</t>
        </is>
      </c>
      <c r="C636" t="inlineStr">
        <is>
          <t>Annan skogsbruksåtgärd</t>
        </is>
      </c>
      <c r="D636" s="1" t="n">
        <v>46079</v>
      </c>
      <c r="E636" s="1" t="n">
        <v>46315</v>
      </c>
      <c r="F636" t="inlineStr">
        <is>
          <t>KRONOBERGS LÄN</t>
        </is>
      </c>
      <c r="G636" t="inlineStr">
        <is>
          <t>ÄLMHULT</t>
        </is>
      </c>
      <c r="I636" t="n">
        <v>1.9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S 743-2026</t>
        </is>
      </c>
      <c r="B637" t="inlineStr">
        <is>
          <t>samrådsanmälan</t>
        </is>
      </c>
      <c r="C637" t="inlineStr">
        <is>
          <t>Askåterföring</t>
        </is>
      </c>
      <c r="D637" s="1" t="n">
        <v>46094</v>
      </c>
      <c r="E637" s="1" t="n">
        <v>46315</v>
      </c>
      <c r="F637" t="inlineStr">
        <is>
          <t>KRONOBERGS LÄN</t>
        </is>
      </c>
      <c r="G637" t="inlineStr">
        <is>
          <t>ÄLMHULT</t>
        </is>
      </c>
      <c r="I637" t="n">
        <v>61.7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S 986-2026</t>
        </is>
      </c>
      <c r="B638" t="inlineStr">
        <is>
          <t>samrådsanmälan</t>
        </is>
      </c>
      <c r="C638" t="inlineStr">
        <is>
          <t>Annan skogsbruksåtgärd</t>
        </is>
      </c>
      <c r="D638" s="1" t="n">
        <v>46119</v>
      </c>
      <c r="E638" s="1" t="n">
        <v>46315</v>
      </c>
      <c r="F638" t="inlineStr">
        <is>
          <t>KRONOBERGS LÄN</t>
        </is>
      </c>
      <c r="G638" t="inlineStr">
        <is>
          <t>ÄLMHULT</t>
        </is>
      </c>
      <c r="I638" t="n">
        <v>0.6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>
      <c r="A639" t="inlineStr">
        <is>
          <t>S 2141-2026</t>
        </is>
      </c>
      <c r="B639" t="inlineStr">
        <is>
          <t>samrådsanmälan</t>
        </is>
      </c>
      <c r="C639" t="inlineStr">
        <is>
          <t>Skogsbilväg</t>
        </is>
      </c>
      <c r="D639" s="1" t="n">
        <v>46182</v>
      </c>
      <c r="E639" s="1" t="n">
        <v>46315</v>
      </c>
      <c r="F639" t="inlineStr">
        <is>
          <t>KRONOBERGS LÄN</t>
        </is>
      </c>
      <c r="G639" t="inlineStr">
        <is>
          <t>ÄLMHULT</t>
        </is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2026-10-20T01:53:57Z</dcterms:created>
  <dcterms:modified xmlns:dcterms="http://purl.org/dc/terms/" xmlns:xsi="http://www.w3.org/2001/XMLSchema-instance" xsi:type="dcterms:W3CDTF">2026-10-20T01:53:58Z</dcterms:modified>
</cp:coreProperties>
</file>